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/>
  <workbookPr showObjects="none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Facturas\Dropbox\HOJAS DE TRABAJO\VARIABLES 2026\"/>
    </mc:Choice>
  </mc:AlternateContent>
  <xr:revisionPtr revIDLastSave="0" documentId="13_ncr:1_{FD39E529-947D-46BB-92C6-DEB32081ADEE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MAYO " sheetId="61" r:id="rId1"/>
    <sheet name="JUNIO" sheetId="62" r:id="rId2"/>
    <sheet name="JULIO" sheetId="63" r:id="rId3"/>
    <sheet name="CALCULOS" sheetId="7" r:id="rId4"/>
    <sheet name="VALORES" sheetId="53" r:id="rId5"/>
  </sheets>
  <definedNames>
    <definedName name="_xlnm.Print_Area" localSheetId="3">CALCULOS!$B$10:$D$33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" i="53" l="1"/>
  <c r="J19" i="53" s="1"/>
  <c r="I18" i="53"/>
  <c r="J18" i="53" s="1"/>
  <c r="I10" i="53"/>
  <c r="J10" i="53" s="1"/>
  <c r="I16" i="53"/>
  <c r="J16" i="53" s="1"/>
  <c r="I11" i="53"/>
  <c r="J11" i="53" s="1"/>
  <c r="I12" i="53"/>
  <c r="J12" i="53" s="1"/>
  <c r="I13" i="53"/>
  <c r="J13" i="53" s="1"/>
  <c r="I14" i="53"/>
  <c r="J14" i="53" s="1"/>
  <c r="I15" i="53"/>
  <c r="J15" i="53" s="1"/>
  <c r="I17" i="53"/>
  <c r="J17" i="53" s="1"/>
  <c r="I9" i="53"/>
  <c r="J9" i="53" s="1"/>
  <c r="D7" i="7" l="1"/>
  <c r="D6" i="7" l="1"/>
  <c r="D4" i="7" l="1"/>
  <c r="D5" i="7" l="1"/>
  <c r="E5" i="7" s="1"/>
  <c r="E6" i="7" l="1"/>
  <c r="E7" i="7"/>
  <c r="E8" i="7" l="1"/>
  <c r="E4" i="7"/>
</calcChain>
</file>

<file path=xl/sharedStrings.xml><?xml version="1.0" encoding="utf-8"?>
<sst xmlns="http://schemas.openxmlformats.org/spreadsheetml/2006/main" count="4296" uniqueCount="941">
  <si>
    <t>Cliente</t>
  </si>
  <si>
    <t>Contacto</t>
  </si>
  <si>
    <t>OT</t>
  </si>
  <si>
    <t>OC /VIN / PATENTE</t>
  </si>
  <si>
    <t xml:space="preserve">Equipamiento </t>
  </si>
  <si>
    <t>CANT</t>
  </si>
  <si>
    <t xml:space="preserve">Fecha </t>
  </si>
  <si>
    <t>FELIX</t>
  </si>
  <si>
    <t>SERGIO</t>
  </si>
  <si>
    <t>CRISTIAN</t>
  </si>
  <si>
    <t>OSCAR C</t>
  </si>
  <si>
    <t>TATTERSALL</t>
  </si>
  <si>
    <t>PORTA EXTINTOR 10 KG MINERO INSTALADO</t>
  </si>
  <si>
    <t>EXTINTOR 10 KG AL 75%</t>
  </si>
  <si>
    <t>KIT PAR CUNAS C/PORTA CUNAS POLIURET. 5 TON INSTALADO</t>
  </si>
  <si>
    <t>HUINCHA REFLECTANTE VERDE LIMON 3M INSTALADA</t>
  </si>
  <si>
    <t>SOPORTE 6TA RUEDA TIPO "T"</t>
  </si>
  <si>
    <t>PARACHOQUE MINERO HILUX</t>
  </si>
  <si>
    <t>INDICADOR GOTA 21 MM I</t>
  </si>
  <si>
    <t>BARRA INTERIOR HILUX</t>
  </si>
  <si>
    <t>MALLA LUNETA 6M</t>
  </si>
  <si>
    <t>BALIZA LED APER AMBAR H-STAR INSTALADA</t>
  </si>
  <si>
    <t>BALIZA LED APER AZUL H-STAR INSTALADA</t>
  </si>
  <si>
    <t>KIT PERTIGA 12P H-STAR C/LED ROJA INSTALADA</t>
  </si>
  <si>
    <t>BARRA PORTA OBJETOS C/MALLA</t>
  </si>
  <si>
    <t>KIT PERTIGA 10P H-STAR C/LED ROJA INSTALADA I</t>
  </si>
  <si>
    <t>EXTINTOR 2 KG AL 75%</t>
  </si>
  <si>
    <t>ANTIOSCILANTE PERTIGA</t>
  </si>
  <si>
    <t xml:space="preserve">TOYOTA HILUX </t>
  </si>
  <si>
    <t xml:space="preserve">TATTERSALL </t>
  </si>
  <si>
    <t>VR UNIT</t>
  </si>
  <si>
    <t>CANT BARRAS</t>
  </si>
  <si>
    <t>PERSONAL</t>
  </si>
  <si>
    <t>BARRAS</t>
  </si>
  <si>
    <t>ELECTRIC</t>
  </si>
  <si>
    <t>arco trasero + porta escala</t>
  </si>
  <si>
    <t>barra a la baranda</t>
  </si>
  <si>
    <t>barra exterior</t>
  </si>
  <si>
    <t>barra interior</t>
  </si>
  <si>
    <t>caja plastica</t>
  </si>
  <si>
    <t>enganche</t>
  </si>
  <si>
    <t>huincha reflec</t>
  </si>
  <si>
    <t>kit car</t>
  </si>
  <si>
    <t>porta cuñas</t>
  </si>
  <si>
    <t>porta escala</t>
  </si>
  <si>
    <t>Acc electrico camiones</t>
  </si>
  <si>
    <t>kit estrobos x5 Para todos</t>
  </si>
  <si>
    <t>mochila x40 Oscar</t>
  </si>
  <si>
    <t>ELECTRIC OSCAR</t>
  </si>
  <si>
    <t>Oscar eléctrico todo lleva</t>
  </si>
  <si>
    <t>PORTA LETRERO MULTIMEDIDA</t>
  </si>
  <si>
    <t>CAJA METALICA 60X60X40 INSTALADA</t>
  </si>
  <si>
    <t xml:space="preserve">SALFA </t>
  </si>
  <si>
    <t xml:space="preserve">MARTIN AGUILAR </t>
  </si>
  <si>
    <t>cámara ONIX</t>
  </si>
  <si>
    <t>ALARMA RETROCESO INSTALADA C/B</t>
  </si>
  <si>
    <t>barra porta objetos</t>
  </si>
  <si>
    <t>ANTIOSCILANTE ESPECIAL</t>
  </si>
  <si>
    <t>PROTECCION SISTEMA SCR HILUX E6 INFERIOR</t>
  </si>
  <si>
    <t>PROTECCION SISTEMA SCR HILUX E6 SUPERIOR</t>
  </si>
  <si>
    <t>BOLA REMOLQUE 1-7/8 2000 LBS</t>
  </si>
  <si>
    <t>TATTERSALL
MITTA
CLIENTES ALEJANDRO</t>
  </si>
  <si>
    <t>DETALLE</t>
  </si>
  <si>
    <t>VR</t>
  </si>
  <si>
    <t>BARRAS 
TATTERSALL MITTA ALEJANDRO</t>
  </si>
  <si>
    <t>VARIABLES EQUIPAMIENTO</t>
  </si>
  <si>
    <t>Jaula</t>
  </si>
  <si>
    <t>PORTA EXTINTOR 6 KG MINERO INSTALADO</t>
  </si>
  <si>
    <t>PORTA ESCALA</t>
  </si>
  <si>
    <t>BARRA INTERIOR L200 2024</t>
  </si>
  <si>
    <t>BARRA INTERIOR COLORADO</t>
  </si>
  <si>
    <t>ESLINGA 2"X3 MTS OJO OJO</t>
  </si>
  <si>
    <t>FOCO FAENERO 9 LED CUADRADO INSTALADA</t>
  </si>
  <si>
    <t>FOCO FAENERO 9 LED REDONDO INSTALADO</t>
  </si>
  <si>
    <t>SALFA</t>
  </si>
  <si>
    <t>02ARINSTI</t>
  </si>
  <si>
    <t>04BEXT6M</t>
  </si>
  <si>
    <t>04MLUN6M</t>
  </si>
  <si>
    <t>04PRE</t>
  </si>
  <si>
    <t>06FF9LEDR1</t>
  </si>
  <si>
    <t>04BIHILUX</t>
  </si>
  <si>
    <t>13SH559IN3</t>
  </si>
  <si>
    <t>10EXT275</t>
  </si>
  <si>
    <t>10PEXT10MI</t>
  </si>
  <si>
    <t>10EXT1075</t>
  </si>
  <si>
    <t>06BLAAZHS1</t>
  </si>
  <si>
    <t>Modelo</t>
  </si>
  <si>
    <t>06BLAAHS1</t>
  </si>
  <si>
    <t>17PERLC121</t>
  </si>
  <si>
    <t>19BOMIN3M</t>
  </si>
  <si>
    <t>BOTIQUIN MINERO 3M</t>
  </si>
  <si>
    <t>04AOP</t>
  </si>
  <si>
    <t>08CM60X60I</t>
  </si>
  <si>
    <t>09CU5TPCUP</t>
  </si>
  <si>
    <t>21IND21I</t>
  </si>
  <si>
    <t>07ESLT2X3</t>
  </si>
  <si>
    <t>21IND20P</t>
  </si>
  <si>
    <t>04BPOC/M</t>
  </si>
  <si>
    <t>04AOPESP</t>
  </si>
  <si>
    <t>17PERLC10CIN</t>
  </si>
  <si>
    <t>04PLETMM</t>
  </si>
  <si>
    <t>04ESTPRE</t>
  </si>
  <si>
    <t>ESTRUCTURA SOPORTE 6TA RUEDA TIPO KIT CAR</t>
  </si>
  <si>
    <t>04BICOLORA</t>
  </si>
  <si>
    <t>04PCHHILUX</t>
  </si>
  <si>
    <t>10PEXT6MI</t>
  </si>
  <si>
    <t>04BIZNANR</t>
  </si>
  <si>
    <t>13SH557IN3</t>
  </si>
  <si>
    <t>13SH55MUL3M</t>
  </si>
  <si>
    <t>01CORE70I</t>
  </si>
  <si>
    <t>CONO RETRACTIL 70 CON LUZ I</t>
  </si>
  <si>
    <t>19BOM25P</t>
  </si>
  <si>
    <t>07ET1/2X4I</t>
  </si>
  <si>
    <t>08KDCPAL08</t>
  </si>
  <si>
    <t>08FRZTI</t>
  </si>
  <si>
    <t>08SACYUTI</t>
  </si>
  <si>
    <t>08PLRTTI</t>
  </si>
  <si>
    <t>BOTIQUIN MINERO 25 PERSONAS</t>
  </si>
  <si>
    <t>ESTROBO 1/2 X 4 MTS OJO OJO I</t>
  </si>
  <si>
    <t>KIT DEST. CRUZ-PALETA 8 Y ALICATE 8"</t>
  </si>
  <si>
    <t>FRAZADA TELA CUADRILIE 1.5X2 I</t>
  </si>
  <si>
    <t>SACO YUTE</t>
  </si>
  <si>
    <t>PALA RETRACTIL</t>
  </si>
  <si>
    <t>17PERLC101</t>
  </si>
  <si>
    <t>03BR1-7/8</t>
  </si>
  <si>
    <t>HUINCHA REFLECTANTE BLANCO 3M INSTALADA</t>
  </si>
  <si>
    <t>X</t>
  </si>
  <si>
    <t>03M150X180</t>
  </si>
  <si>
    <t>MALLA ELASTICA 150X180</t>
  </si>
  <si>
    <t>17PERLC801</t>
  </si>
  <si>
    <t>KIT PERTIGA 8P H-STAR C/LED ROJA INSTALADA</t>
  </si>
  <si>
    <t>06FF9LEDC1</t>
  </si>
  <si>
    <t>04BIPOER</t>
  </si>
  <si>
    <t>BARRA INTERIOR POER</t>
  </si>
  <si>
    <t>02ASACINST</t>
  </si>
  <si>
    <t>ALARMA DE SEGURIDAD A/CONTROL INST</t>
  </si>
  <si>
    <t>AVIS</t>
  </si>
  <si>
    <t>03CORNAMUSI</t>
  </si>
  <si>
    <t>CORNAMUSA I</t>
  </si>
  <si>
    <t>INDICADOR GOTA 20 MM P L200</t>
  </si>
  <si>
    <t>FRANCISCO</t>
  </si>
  <si>
    <t>04BI3M</t>
  </si>
  <si>
    <t>INSTALACION CAJA HERRAMIENTA METALICA</t>
  </si>
  <si>
    <t>04PCHL20025</t>
  </si>
  <si>
    <t>GUILLERMO</t>
  </si>
  <si>
    <t>MITTA</t>
  </si>
  <si>
    <t>04BEZNANR</t>
  </si>
  <si>
    <t>HILUX 2.4 MT 4X4 DX D-C DSL EVI TSS</t>
  </si>
  <si>
    <t>19BOSLBRO</t>
  </si>
  <si>
    <t>BOTIQUIN LOS BRONCES</t>
  </si>
  <si>
    <t>BARRA EXTERIOR 6M</t>
  </si>
  <si>
    <t>BARRA INTERIOR 3M</t>
  </si>
  <si>
    <t xml:space="preserve">YHERYMAR </t>
  </si>
  <si>
    <t>CORTA CORRIENTE P/AUTO NOSSO INSTALADO</t>
  </si>
  <si>
    <t>08ALIUN8</t>
  </si>
  <si>
    <t>ALICATE UNIVERSAL 8"</t>
  </si>
  <si>
    <t>PORTA CUÑA METALICO</t>
  </si>
  <si>
    <t>07PLTGO6M</t>
  </si>
  <si>
    <t>PULPO TENSOR GOMA 6 RAMALES M</t>
  </si>
  <si>
    <t>04BERANGER</t>
  </si>
  <si>
    <t>BARRA EXTERIOR RANGER</t>
  </si>
  <si>
    <t>09PCU5TMPC</t>
  </si>
  <si>
    <t>PORTA CUNAS METALICO 5 TON AL PICK UP</t>
  </si>
  <si>
    <t>GONZALO RAMOS</t>
  </si>
  <si>
    <t xml:space="preserve">HEAVYTECH </t>
  </si>
  <si>
    <t>NICOLAS</t>
  </si>
  <si>
    <t>04BPLTMIN</t>
  </si>
  <si>
    <t>BARANDA EN PLATAFORMAS MINERA</t>
  </si>
  <si>
    <t>21/112025</t>
  </si>
  <si>
    <t>CAT 350</t>
  </si>
  <si>
    <t>19BOMINTT</t>
  </si>
  <si>
    <t>BOTIQUIN MINERO TT</t>
  </si>
  <si>
    <t>Piso cubre</t>
  </si>
  <si>
    <t>CONTITECH</t>
  </si>
  <si>
    <t>02NBLHLUXI</t>
  </si>
  <si>
    <t>NEBLINERO HILUX 2016-2020 INSTALADO</t>
  </si>
  <si>
    <t>21IND19I</t>
  </si>
  <si>
    <t>INDICADOR GOTA 19 MM I</t>
  </si>
  <si>
    <t>OTROS CLIENTES</t>
  </si>
  <si>
    <t>TATTERSALL Y CLIENTES FINALES</t>
  </si>
  <si>
    <t>ELÉCTRICO</t>
  </si>
  <si>
    <t>TODO LO ELECTRICO</t>
  </si>
  <si>
    <t>KIT ESTROBOSCÓPICO</t>
  </si>
  <si>
    <t>ACCESORIO ELECTRICO CAMION</t>
  </si>
  <si>
    <t>ACCESORIO ELECTRICO MAQUINARIA</t>
  </si>
  <si>
    <t>FIERROS</t>
  </si>
  <si>
    <t>BARRA EXTERIOR</t>
  </si>
  <si>
    <t>BARRA INTERIOR</t>
  </si>
  <si>
    <t>ARCO TRASERO + P.ESCALA</t>
  </si>
  <si>
    <t>BARRA A LA BARANDA</t>
  </si>
  <si>
    <t>BARRA PORTA OBJETOS</t>
  </si>
  <si>
    <t>ENGANCHE</t>
  </si>
  <si>
    <t>JAULA</t>
  </si>
  <si>
    <t>30-40</t>
  </si>
  <si>
    <t>ESTRUCURA SOPORTE RUEDA</t>
  </si>
  <si>
    <t>PARRON TT</t>
  </si>
  <si>
    <t>PARACHOQUE LE200</t>
  </si>
  <si>
    <t>PISO DIAMANTADO CUBRE PICK UP</t>
  </si>
  <si>
    <t>PORTA LETRERO</t>
  </si>
  <si>
    <t>PARACHOQUE</t>
  </si>
  <si>
    <t>PORTA EXTINTOR</t>
  </si>
  <si>
    <t>PROTECCIONES GENERALES</t>
  </si>
  <si>
    <t>CAJA PLASTICA</t>
  </si>
  <si>
    <t>HUINCHA REFLECTANTE</t>
  </si>
  <si>
    <t>CUÑA + P.CUÑA</t>
  </si>
  <si>
    <t>CORNAMUSA</t>
  </si>
  <si>
    <t>PISO MADERA PICK UP</t>
  </si>
  <si>
    <t>Parachoque L200</t>
  </si>
  <si>
    <t>Piso + Jaulas</t>
  </si>
  <si>
    <t xml:space="preserve">Otro </t>
  </si>
  <si>
    <t>01TRGSEX2I</t>
  </si>
  <si>
    <t>TRIANGULO DE SEGURIDAD X 2 UND I</t>
  </si>
  <si>
    <t>13LM1MIN</t>
  </si>
  <si>
    <t>LAMINADO DE SEG. COMPLETO TIPO MINERO 8 Y 4 MILS TRANSP.</t>
  </si>
  <si>
    <t>BARRA EXTERIOR GRAN MUSSO BLANCO</t>
  </si>
  <si>
    <t>04BIMUSSOTT</t>
  </si>
  <si>
    <t>BARRA INTERIOR MUSSO TT</t>
  </si>
  <si>
    <t>10PEXT10RI</t>
  </si>
  <si>
    <t>PORTA EXTINTOR 10 KG REFORZADO I</t>
  </si>
  <si>
    <t>VENTA POR MANO</t>
  </si>
  <si>
    <t>YHERYMAR</t>
  </si>
  <si>
    <t>04BIL200</t>
  </si>
  <si>
    <t>BARRA INTERIOR L200</t>
  </si>
  <si>
    <t>GONZALO LORCA</t>
  </si>
  <si>
    <t>02CC-ANOSI</t>
  </si>
  <si>
    <t>CINTA ESCAPE FIBRA VIDRIO INSTALADA</t>
  </si>
  <si>
    <t>MARTIN AGUILAR</t>
  </si>
  <si>
    <t>09CU5TPCUPP</t>
  </si>
  <si>
    <t>KIT PAR CUNAS C/PORTA CUNAS POLIURET. 5 TON INSTALADO P</t>
  </si>
  <si>
    <t>02CRSINSTI</t>
  </si>
  <si>
    <t>08DESTC08I</t>
  </si>
  <si>
    <t>DESTORNILLADOR CRUZ 8" I</t>
  </si>
  <si>
    <t>08DESTP08I</t>
  </si>
  <si>
    <t>DESTORNILLADOR PALETA 8" I</t>
  </si>
  <si>
    <t>08ME-CCCCSI</t>
  </si>
  <si>
    <t>MARTILLO DE EMERGENCIA C/CORTA CINTURON C/SOPORTE I</t>
  </si>
  <si>
    <t>04BIMUSSO</t>
  </si>
  <si>
    <t>BARRA INTERIOR MUSSO</t>
  </si>
  <si>
    <t>ELECTROHIDRAULICA</t>
  </si>
  <si>
    <t>07GRT1/2I</t>
  </si>
  <si>
    <t>GRILLETE 1/2 I</t>
  </si>
  <si>
    <t>MAXUS T60</t>
  </si>
  <si>
    <t>15NCNCI-AC</t>
  </si>
  <si>
    <t>NANO CLEAR NCI REC. CHASIS AUTO/CAMIONETA</t>
  </si>
  <si>
    <t>01CHRRFFLU</t>
  </si>
  <si>
    <t>CHALECO REFLECTANTE AMARILLO FLUOR</t>
  </si>
  <si>
    <t>06BLAAHSP1</t>
  </si>
  <si>
    <t>BALIZA LED APER AMBAR H-STAR P INSTALADA</t>
  </si>
  <si>
    <t>03JGLLCO08P</t>
  </si>
  <si>
    <t>JUEGO DE LLAVES CORONA 8 PIEZAS 8-22MM</t>
  </si>
  <si>
    <t>09PCU20TM</t>
  </si>
  <si>
    <t>PORTA CUNAS METALICO 20 TON</t>
  </si>
  <si>
    <t>Vr BARRA</t>
  </si>
  <si>
    <t>04BEL200</t>
  </si>
  <si>
    <t>BARRA EXTERIOR L200</t>
  </si>
  <si>
    <t>GONZALO GALLARDO</t>
  </si>
  <si>
    <t>08LTR12VI</t>
  </si>
  <si>
    <t>LINTERNA RECARGABLE 12 V C/CARGADOR I</t>
  </si>
  <si>
    <t>ICAFAL</t>
  </si>
  <si>
    <t>PATRICIO MUJICA</t>
  </si>
  <si>
    <t xml:space="preserve"> SSANGYONG GRAND MUSSO GLX</t>
  </si>
  <si>
    <t>BALIZA LED APER AZUL H-STAR INST. IZQ</t>
  </si>
  <si>
    <t>13SH559IN</t>
  </si>
  <si>
    <t>HUINCHA REFLECTANTE VERDE LIMON INSTALADA</t>
  </si>
  <si>
    <t xml:space="preserve">PENDIENTE EQUIPAR 1 DE 2 </t>
  </si>
  <si>
    <t>02SS-FATI</t>
  </si>
  <si>
    <t>SENSOR DE SUENO - FATIGA INSTALADO</t>
  </si>
  <si>
    <t>INVERSIONES ICA</t>
  </si>
  <si>
    <t>10SOPG10SC</t>
  </si>
  <si>
    <t>SOPORTE GABINETE 10 KG SC</t>
  </si>
  <si>
    <t>XTREME</t>
  </si>
  <si>
    <t>02CRSGINST</t>
  </si>
  <si>
    <t>CAMARA RET. C/VISOR Y SENSOR RET. GOMA INSTALADA</t>
  </si>
  <si>
    <t>03FCT4PZEC</t>
  </si>
  <si>
    <t>FUNDA CUBRE ASIENTO ECOCUERO 4MM 4 PZAS/5CABE</t>
  </si>
  <si>
    <t>HUINCHA REFLECTANTE VERDE LIMON 3M INST TODO CONTORNO</t>
  </si>
  <si>
    <t>09CU20PCUP</t>
  </si>
  <si>
    <t>KIT PAR CUNAS C/PORTA CUNAS POLIURET. 20 TON INSTALADO</t>
  </si>
  <si>
    <t>21IND19P</t>
  </si>
  <si>
    <t>INDICADOR GOTA 19 MM P</t>
  </si>
  <si>
    <t>L200 Katana XRT</t>
  </si>
  <si>
    <t>VARIOS  MODELOS DE VEHIC</t>
  </si>
  <si>
    <t>10EXT675</t>
  </si>
  <si>
    <t>EXTINTOR 6 KG AL 75%</t>
  </si>
  <si>
    <t>INDICADOR GOTA 20 MM P</t>
  </si>
  <si>
    <t>PENDIENTE EQUIPAR</t>
  </si>
  <si>
    <t>JOSE GAETE</t>
  </si>
  <si>
    <t>PARACHOQUE L200 2025</t>
  </si>
  <si>
    <t>08CP-80II</t>
  </si>
  <si>
    <t>CAJA PLASTICA 80 CM INSTALADA</t>
  </si>
  <si>
    <t>13LM2MIN</t>
  </si>
  <si>
    <t>LAMINADO DE SEG. LAT. DEL/TRAS Y LUNETA 8 Y 4 MILS TRANSP.</t>
  </si>
  <si>
    <t>03SNCFCNL200</t>
  </si>
  <si>
    <t>SNORKELS C/FILTRO CICLONICO NEW L200</t>
  </si>
  <si>
    <t xml:space="preserve">Mitsubishi L200 </t>
  </si>
  <si>
    <t xml:space="preserve">PENDIENTE EQUIPAR </t>
  </si>
  <si>
    <t xml:space="preserve">JOSE GAETE </t>
  </si>
  <si>
    <t>13LM7MIN</t>
  </si>
  <si>
    <t>LAMINADO DE SEG. COMPLETO TIPO MINERO 12 Y 4 MILS TRANSP.</t>
  </si>
  <si>
    <t>CAMARA RET. C/VISOR  INSTALADO</t>
  </si>
  <si>
    <t>02SR-PLABL</t>
  </si>
  <si>
    <t>SENSOR DE RETROCESO P/PLASTICO BLANCO INSTALADO</t>
  </si>
  <si>
    <t xml:space="preserve">FREYA </t>
  </si>
  <si>
    <t>TOYOTA HILUX</t>
  </si>
  <si>
    <t>04BECOLORA</t>
  </si>
  <si>
    <t>FOCO FAENERO 9 LED REDONDO INST  IZQ C/INT</t>
  </si>
  <si>
    <t>CHRISTOPHER CORDERO</t>
  </si>
  <si>
    <t>07PLTPQ</t>
  </si>
  <si>
    <t>PULPO TENSOR GOMA PEQUEÑO</t>
  </si>
  <si>
    <t>HUALPEN</t>
  </si>
  <si>
    <t>19BOMINT3</t>
  </si>
  <si>
    <t>BOTIQUIN MINERO TIPO 3M</t>
  </si>
  <si>
    <t>01COP90BNI</t>
  </si>
  <si>
    <t>CONO PVC 90 CM BN I</t>
  </si>
  <si>
    <t>L200</t>
  </si>
  <si>
    <t>BALLAR</t>
  </si>
  <si>
    <t>FOCO FAENERO 9 LED REDONDO INST IZQ C/INT</t>
  </si>
  <si>
    <t>FOCO FAENERO 9 LED REDONDO  INST IZQ C/INT</t>
  </si>
  <si>
    <t>BCA</t>
  </si>
  <si>
    <t>FREYA</t>
  </si>
  <si>
    <t>06BLMAHSI</t>
  </si>
  <si>
    <t>BALIZA LED IMAN AMBAR H-STAR I</t>
  </si>
  <si>
    <t>07CAM3810</t>
  </si>
  <si>
    <t>CADENAS DE NIEVE 3810</t>
  </si>
  <si>
    <t>08FRZT</t>
  </si>
  <si>
    <t>FRAZADA TELA CUADRILIE 1.5X2</t>
  </si>
  <si>
    <t>03FCT3PZT</t>
  </si>
  <si>
    <t>FUNDA CUBRE TAPIZ SPORT 3 PZAS/5CABE TELA</t>
  </si>
  <si>
    <t>21IND20P2</t>
  </si>
  <si>
    <t>KIT PERTIGA 10P H-STAR C/LED ROJA INST  *instalación conductor*</t>
  </si>
  <si>
    <t>BALIZA LED APER AMBAR H-STAR P INST  *instalación conductor*</t>
  </si>
  <si>
    <t>ALARMA RETROCESO INST *directo con reversa*</t>
  </si>
  <si>
    <t>03CCV1.3X1.7</t>
  </si>
  <si>
    <t>CUBRE CIELO VINÍLICO 1,30 x 1,70 MTS</t>
  </si>
  <si>
    <t>03CPV2X3</t>
  </si>
  <si>
    <t>CUBRE PISO VINÍLICO 2 x 3 MTS</t>
  </si>
  <si>
    <t>13LGADH01</t>
  </si>
  <si>
    <t>LOGO ADHESIVO</t>
  </si>
  <si>
    <t>19BOTESPO2</t>
  </si>
  <si>
    <t>BOTIQUIN ESPECIAL C/OXIGENO C/BOLSO</t>
  </si>
  <si>
    <t>04PCHCOLOR</t>
  </si>
  <si>
    <t>PARACHOQUE MINERO COLORADO</t>
  </si>
  <si>
    <t>02SR-PLAI</t>
  </si>
  <si>
    <t>SENSOR DE RETROCESO P/PLASTICO INSTALADO</t>
  </si>
  <si>
    <t>UINCHA REFLECTANTE MULTICOLOR 3M INST 
*BLANCO DELANTERO ,VERDE  A LOS COSTADOS Y ROJO ATRÁS*</t>
  </si>
  <si>
    <t>01CORE70P</t>
  </si>
  <si>
    <t>CONO RETRACTIL 70 CON LUZ P</t>
  </si>
  <si>
    <t>COLORADO</t>
  </si>
  <si>
    <t>04BIRANGER</t>
  </si>
  <si>
    <t>BARRA INTERIOR RANGER</t>
  </si>
  <si>
    <t>20INSTEPE</t>
  </si>
  <si>
    <t>INSTALACION RAMAL PERTIGA C/B</t>
  </si>
  <si>
    <t>KIT PERTIGA 12P H-STAR C/LED ROJA INST  DER.</t>
  </si>
  <si>
    <t>04ENGHILUX</t>
  </si>
  <si>
    <t>ENGANCHE AMERICANO HILUX</t>
  </si>
  <si>
    <t>19GCASF</t>
  </si>
  <si>
    <t>GUANTE CABRITILLA SIN FORRO</t>
  </si>
  <si>
    <t>EQUIPA CHILE</t>
  </si>
  <si>
    <t>02TCEROJO</t>
  </si>
  <si>
    <t>TERCER OJO INSTALADO</t>
  </si>
  <si>
    <t>FORG RANGER 2026</t>
  </si>
  <si>
    <t>ALO RENTAL</t>
  </si>
  <si>
    <t>HILUX DX 4X2 DIÉSEL 2.4 MT,</t>
  </si>
  <si>
    <t>07GRT5/8I</t>
  </si>
  <si>
    <t>GRILLETE 5/8 I</t>
  </si>
  <si>
    <t>19BOMINHSEC</t>
  </si>
  <si>
    <t>BOTIQUIN MINERO HSEC</t>
  </si>
  <si>
    <t>08LLFR10</t>
  </si>
  <si>
    <t>LLAVE FRANCESA 10"</t>
  </si>
  <si>
    <t xml:space="preserve">TOYOYA HILUX </t>
  </si>
  <si>
    <t xml:space="preserve">ANULADA </t>
  </si>
  <si>
    <t>HUINCHA REFLECTANTE VERDE LIMON 3M INST LAT.PORT.CAP</t>
  </si>
  <si>
    <t>07KESR1X3,6</t>
  </si>
  <si>
    <t>KIT ESLINGA 1" X 3,6 MTS C/RACHET (2UN)</t>
  </si>
  <si>
    <t>09CU5TPCUM</t>
  </si>
  <si>
    <t>KIT PAR CUNAS C/PORTA CUNAS MET. 5 TON INSTALADO</t>
  </si>
  <si>
    <t>L 200</t>
  </si>
  <si>
    <t xml:space="preserve">PORTA LETRERO </t>
  </si>
  <si>
    <t>06FBCAM</t>
  </si>
  <si>
    <t>FOCO BUSCA CAMINO</t>
  </si>
  <si>
    <t>19BOTCNTLA</t>
  </si>
  <si>
    <t>BOTIQUIN CENTINELLA</t>
  </si>
  <si>
    <t>L200 (Rojas) XRT</t>
  </si>
  <si>
    <t>COMERCIALIZADORA BLOISE</t>
  </si>
  <si>
    <t>04RPBLS</t>
  </si>
  <si>
    <t>RACK PORTA BOLSAS</t>
  </si>
  <si>
    <t>N400</t>
  </si>
  <si>
    <t>BALIZA LED APER AZUL H-STAR  INST. IZQ</t>
  </si>
  <si>
    <t>KIT PERTIGA 10P H-STAR C/LED ROJA INST DER.</t>
  </si>
  <si>
    <t>MAXUS</t>
  </si>
  <si>
    <t>POER 2.0 TD 4X2 ELITE F2</t>
  </si>
  <si>
    <t>08CP-60PI</t>
  </si>
  <si>
    <t>CAJA PLASTICA 60 CM P INSTALADA</t>
  </si>
  <si>
    <t>04BEBT50</t>
  </si>
  <si>
    <t xml:space="preserve">BARRA INTERIOR HILUX - INSTALADA </t>
  </si>
  <si>
    <t>09PCU5TMB</t>
  </si>
  <si>
    <t>09CU5TNI</t>
  </si>
  <si>
    <t>09PIAB3/16</t>
  </si>
  <si>
    <t>06BLAAHSI</t>
  </si>
  <si>
    <t>17PERLC12</t>
  </si>
  <si>
    <t>02ARETI</t>
  </si>
  <si>
    <t>20DESTAGM</t>
  </si>
  <si>
    <t>03BR2"</t>
  </si>
  <si>
    <t>BOLA REMOLQUE 2" 3500 LBS</t>
  </si>
  <si>
    <t>02ARINSTIS</t>
  </si>
  <si>
    <t>ALARMA RETROCESO INSTALADA S/B</t>
  </si>
  <si>
    <t>HUINCHA REFLECTANTE BLANCO 3M INST LAT/PORT/CAPOT</t>
  </si>
  <si>
    <t>GRAND MUSSO GLX 2.2TD 6MT 2WD</t>
  </si>
  <si>
    <t>10PEXT2PL</t>
  </si>
  <si>
    <t>FOCO FAENERO 9 LED REDONDO INST CONECT REVERSA X2</t>
  </si>
  <si>
    <t>04PARRCA</t>
  </si>
  <si>
    <t>PARRON PARA CAMIONETA C/CAÑERIA CON PORTA ESCALA Y MALLA</t>
  </si>
  <si>
    <t>TRUCK SERVICE</t>
  </si>
  <si>
    <t>ANULADA</t>
  </si>
  <si>
    <t>FREYA PANTOJA</t>
  </si>
  <si>
    <t>04BIGRDAV</t>
  </si>
  <si>
    <t>BARRA INTERIOR GRAND AVENUE</t>
  </si>
  <si>
    <t>PORTA LETRERO MULTIMEDIDA SOBRE BARRA ANTIV</t>
  </si>
  <si>
    <t>KIT PERTIGA 10P VARILLA LED COMPLETA H-STAR R I INST DER</t>
  </si>
  <si>
    <t>BALIZA LED APER AMBAR H-STAR INST.IZQ</t>
  </si>
  <si>
    <t>HUINCHA REFLECTANTE BLANCO 3M INST BL LAT/PORTALON</t>
  </si>
  <si>
    <t>HILUX DX 4X4 2.4 MT TSS,</t>
  </si>
  <si>
    <t>TRANSP JAVIER CORTES</t>
  </si>
  <si>
    <t>DESINSTALACION DE BARRAS</t>
  </si>
  <si>
    <t>13DESLAM</t>
  </si>
  <si>
    <t>DESINSTALACION DE LAMINADO DE SEGURIDAD</t>
  </si>
  <si>
    <t>HILUX</t>
  </si>
  <si>
    <t>01TRGSEX1I</t>
  </si>
  <si>
    <t>TRIANGULO DE SEGURIDAD X 1 UND I</t>
  </si>
  <si>
    <t xml:space="preserve">FOCO FAENERO 9 LED REDONDO INST A LA REVERSA </t>
  </si>
  <si>
    <t xml:space="preserve">OSCAR T </t>
  </si>
  <si>
    <t xml:space="preserve">ENRIQUE T </t>
  </si>
  <si>
    <t>GUILLERM G</t>
  </si>
  <si>
    <t>PEDRO LL</t>
  </si>
  <si>
    <t>LEANDRO Q</t>
  </si>
  <si>
    <t>IVAN P</t>
  </si>
  <si>
    <t>MANUEL M</t>
  </si>
  <si>
    <t xml:space="preserve">ANDRES </t>
  </si>
  <si>
    <t>POER PLUS AT 2.0 TD 4X2 ELITE F2</t>
  </si>
  <si>
    <t>MANUEL EDUARDO CORTES</t>
  </si>
  <si>
    <t>Mitsubishi L200</t>
  </si>
  <si>
    <t>TRUCK TRAILER</t>
  </si>
  <si>
    <t>02CJCCMCA</t>
  </si>
  <si>
    <t>CAJA CORTA CORRIENTE METÁLICA P/CAMIÓN</t>
  </si>
  <si>
    <t>SOLO SE EQUIPA 1 UNIDADES</t>
  </si>
  <si>
    <t>A LA ESPERA DE LA OTRA</t>
  </si>
  <si>
    <t>MARCO ANTONIO PAEZ</t>
  </si>
  <si>
    <t>Toyota Hilux 2.ui4D DX 4WD</t>
  </si>
  <si>
    <t>GONAZLO LORCA</t>
  </si>
  <si>
    <t>BALIZA LED APER AMBAR H-STAR  INST.IZQ</t>
  </si>
  <si>
    <t>L200 Katana XR</t>
  </si>
  <si>
    <t>FOCO FAENERO 9 LED REDONDO INST C/BOTON</t>
  </si>
  <si>
    <t>CHEVROLET - COLORADO 2.8TD WT AT 4WD T</t>
  </si>
  <si>
    <t>13SH55AMIN3</t>
  </si>
  <si>
    <t>HUINCHA REFLECTANTE ROJA/BLANCA 3M INST LAT.PORT.CAP</t>
  </si>
  <si>
    <t>MALLA LUNETA 6M - 
NO INSTALAR DEJAR LOS KIT DE PERNOS DENTRO DE LA CAMIONETA ,(QUE SEA  FACIL DE IDENTIFICAR)</t>
  </si>
  <si>
    <t>21IND27I</t>
  </si>
  <si>
    <t>INDICADOR GOTA 27 MM I</t>
  </si>
  <si>
    <t>TAXI BUS</t>
  </si>
  <si>
    <t xml:space="preserve">PORTA CUNAS METALICO 20 TON </t>
  </si>
  <si>
    <t>BCA EQUIPAMIENTO</t>
  </si>
  <si>
    <t>NEW HILUX MMC 4X4 2.8 MT SR EU6</t>
  </si>
  <si>
    <t>07CAM2829</t>
  </si>
  <si>
    <t>CADENAS DE NIEVE 2829</t>
  </si>
  <si>
    <t>SEBASTIAN AROYO</t>
  </si>
  <si>
    <t>BARRA EXTERIOR ELECTROHIDRAULICA</t>
  </si>
  <si>
    <t>03SENPRNE</t>
  </si>
  <si>
    <t>SENSORES PRESION NEUMATICOS 4 RUEDAS</t>
  </si>
  <si>
    <t>21IND21P</t>
  </si>
  <si>
    <t>INDICADOR GOTA 21 MM P</t>
  </si>
  <si>
    <t>03M150X90P</t>
  </si>
  <si>
    <t>MALLA ELASTICA 150X90 P</t>
  </si>
  <si>
    <t>21K6X21</t>
  </si>
  <si>
    <t>KIT TRABA TUERCAS 6X21</t>
  </si>
  <si>
    <t>02ASCCINST</t>
  </si>
  <si>
    <t>ALARMA DE SEGURIDAD C/CONTROL INST</t>
  </si>
  <si>
    <t xml:space="preserve">PORTA EXTINTOR 2 KG PLASTICO INST DEBAJO DEL ASIENTO </t>
  </si>
  <si>
    <t>EQUIPADAS 7</t>
  </si>
  <si>
    <t>04BEMAHIND</t>
  </si>
  <si>
    <t>BARRA EXTERIOR MAHINDRA</t>
  </si>
  <si>
    <t>04BIMAHIN</t>
  </si>
  <si>
    <t>BARRA INTERIOR MAHINDRA</t>
  </si>
  <si>
    <t>MICHAEL CONTRERAS</t>
  </si>
  <si>
    <t>MAHINDRA 2024</t>
  </si>
  <si>
    <t>TOYOYA HILUX</t>
  </si>
  <si>
    <t>BALIZA LED APER AMBAR H-STAR NST.IZQ</t>
  </si>
  <si>
    <t>ROCMI</t>
  </si>
  <si>
    <t xml:space="preserve">DESINSTALACION DE 
BARRA EXTERIOR , BARRA INTERNA Y MALLA LUNETA </t>
  </si>
  <si>
    <t>20INSTAGV</t>
  </si>
  <si>
    <t xml:space="preserve">INSTALACION ACCESORIO GENERALES 
BALIZA , FOCO,PERTIGA Y PORTA LETRERO </t>
  </si>
  <si>
    <t>GABRIELA ROMERO</t>
  </si>
  <si>
    <t>04SP</t>
  </si>
  <si>
    <t>SOPORTE DE PERTIGA</t>
  </si>
  <si>
    <t>17PERLC12CLRJI</t>
  </si>
  <si>
    <t>KIT PERTIGA 12P VARILLA LED COMPL. ROJA C/RESORTE C/LED ROJA I</t>
  </si>
  <si>
    <t>TAXI BUSES</t>
  </si>
  <si>
    <t>HUINCHA REFLECTANTE VERDE LIMON 3M INST  TODO CONTORNO</t>
  </si>
  <si>
    <t>21IND32ABI</t>
  </si>
  <si>
    <t>INDICADOR GOTA 32 MM ABIERTO I</t>
  </si>
  <si>
    <t>03BRCSEGI</t>
  </si>
  <si>
    <t>BANDA REFLECTANTE CINTURON DE SEGURIDAD I</t>
  </si>
  <si>
    <t>CAJA PLASTICA 60 CM P INSTALADA (COMPRANDO)</t>
  </si>
  <si>
    <t xml:space="preserve">ALARMA RETROCESO INST A LA REVERSA </t>
  </si>
  <si>
    <t>HUINCHA REFLECTANTE ROJA/BLANCA 3M INSTALADA</t>
  </si>
  <si>
    <t>ROSA ARANCIBIA</t>
  </si>
  <si>
    <t>MILTON</t>
  </si>
  <si>
    <t xml:space="preserve">BARRA EXTERIOR  WINGLE </t>
  </si>
  <si>
    <t>04BIWGL7</t>
  </si>
  <si>
    <t>BARRA INTERIOR WINGLE 7</t>
  </si>
  <si>
    <t>GRET WALL</t>
  </si>
  <si>
    <t>HUINCHA REFLECTANTE MULTICOLOR 3M INST  LAT.PORT.CAP</t>
  </si>
  <si>
    <t>CAMION  MIGHTY EX6</t>
  </si>
  <si>
    <t>TATTERSALL QUILICURA</t>
  </si>
  <si>
    <t>RODRIGO ROJAS</t>
  </si>
  <si>
    <t>POER</t>
  </si>
  <si>
    <t>07ESR2X9-2,5/5</t>
  </si>
  <si>
    <t>ESLINGA 2" X 9 MTS C/RACHET 2500-5000 KG</t>
  </si>
  <si>
    <t>04BITERRA</t>
  </si>
  <si>
    <t>BARRA INTERIOR FORD RANGER 2024</t>
  </si>
  <si>
    <t>10PEXT2PLI</t>
  </si>
  <si>
    <t>04PCHRANG</t>
  </si>
  <si>
    <t>PARACHOQUE MINERO RANGER</t>
  </si>
  <si>
    <t>07CAM2828</t>
  </si>
  <si>
    <t>CADENAS DE NIEVE 2828</t>
  </si>
  <si>
    <t>08PLRTTP</t>
  </si>
  <si>
    <t>PALA RETRACTIL P</t>
  </si>
  <si>
    <t>Ford Ranger XLS 4X4 MT </t>
  </si>
  <si>
    <t>SONDAJES PERFOMAQ SA</t>
  </si>
  <si>
    <t>08CHTA21X53</t>
  </si>
  <si>
    <t>CAJA DE HERRAMIENTAS TIPO ACORDEON 21X53 CM</t>
  </si>
  <si>
    <t>08AG1,6LTS/G</t>
  </si>
  <si>
    <t>AGUA 1,6 LTS S/G</t>
  </si>
  <si>
    <t>18AG701LT</t>
  </si>
  <si>
    <t>ALCOHOL GEL 1 LT AL 70%</t>
  </si>
  <si>
    <t>08ALICTE8</t>
  </si>
  <si>
    <t>ALICATE CORTANTE 8"</t>
  </si>
  <si>
    <t>08ALIPTA8</t>
  </si>
  <si>
    <t>ALICATE PUNTA 8"</t>
  </si>
  <si>
    <t>08ALMINF</t>
  </si>
  <si>
    <t>ALMOHADA INFLABLE</t>
  </si>
  <si>
    <t>03BCMP80LT</t>
  </si>
  <si>
    <t>BOLSO DE CAMPAÑA 50 LTS</t>
  </si>
  <si>
    <t>19BOSR/AM</t>
  </si>
  <si>
    <t>BOTIQUIN SITIOS REMOTOS - ALTA MONTAÑA</t>
  </si>
  <si>
    <t>03CRC2000I</t>
  </si>
  <si>
    <t>CABLE ROBA CORRIENTE 2000 AMP I</t>
  </si>
  <si>
    <t>07CADANT</t>
  </si>
  <si>
    <t>CADENA ANTIESTATICA</t>
  </si>
  <si>
    <t>08CJ-FFR</t>
  </si>
  <si>
    <t>CAJA DE FOSFOROS</t>
  </si>
  <si>
    <t>03CALAG12VI</t>
  </si>
  <si>
    <t>CALENTADOR DE AGUA PARA AUTO 12V I</t>
  </si>
  <si>
    <t>08CH1,5MX1"</t>
  </si>
  <si>
    <t>CHUZO HEXAGONAL 1.5M X1"</t>
  </si>
  <si>
    <t>01COPVC45P</t>
  </si>
  <si>
    <t>CONO PVC 45 CM P</t>
  </si>
  <si>
    <t>08DESTC08</t>
  </si>
  <si>
    <t>DESTORNILLADOR CRUZ 8"</t>
  </si>
  <si>
    <t>08DESTP08</t>
  </si>
  <si>
    <t>DESTORNILLADOR PALETA 8"</t>
  </si>
  <si>
    <t>07EST2X10</t>
  </si>
  <si>
    <t>ESLINGA 2" x 10 MTS OJO OJO 2 CAPAS 3000 KG</t>
  </si>
  <si>
    <t>08FRZE</t>
  </si>
  <si>
    <t>FRAZADA DE EMERGENCIA</t>
  </si>
  <si>
    <t>07GRT1/2P</t>
  </si>
  <si>
    <t>GRILLETE 1/2 P</t>
  </si>
  <si>
    <t>08LTR12V</t>
  </si>
  <si>
    <t>LINTERNA RECARGABLE 12 V C/CARGADOR</t>
  </si>
  <si>
    <t>18MKN95</t>
  </si>
  <si>
    <t>MASCARILLAS P/PARTICULAS KN95</t>
  </si>
  <si>
    <t>08VELX4</t>
  </si>
  <si>
    <t>PAQUETE VELA X 4 UNIDADES</t>
  </si>
  <si>
    <t>19PCPOXL</t>
  </si>
  <si>
    <t>PRIMERA CAPA POLIESTER TALLA XL</t>
  </si>
  <si>
    <t>08SAL010X1</t>
  </si>
  <si>
    <t>SAL INDUSTRIAL 010 X 1 KGS</t>
  </si>
  <si>
    <t>03TRMAG1LT</t>
  </si>
  <si>
    <t>TERMO DE AGUA 1 LT</t>
  </si>
  <si>
    <t>18TFD75X40</t>
  </si>
  <si>
    <t>TOALLITAS FRESH DAYS 75% ALCOHOL X 40 UND</t>
  </si>
  <si>
    <t>08VASPLV</t>
  </si>
  <si>
    <t>VASOS PLUMAVIT 10 ONZ</t>
  </si>
  <si>
    <t>ARTISA</t>
  </si>
  <si>
    <t>04BIT60</t>
  </si>
  <si>
    <t>BARRA INTERIOR JACT8</t>
  </si>
  <si>
    <t>02CC-AALT</t>
  </si>
  <si>
    <t>CORTA CORRIENTE P/AUTO ALTERNATIVO</t>
  </si>
  <si>
    <t>JAC T8.</t>
  </si>
  <si>
    <t>ENGANCHE HAVAL JOLION 2022</t>
  </si>
  <si>
    <t>02INMOBIN</t>
  </si>
  <si>
    <t>INMOVILIZADOR (LLAVERO ANTI ROBO) INSTALADO</t>
  </si>
  <si>
    <t>SAIL</t>
  </si>
  <si>
    <t>DIKAR</t>
  </si>
  <si>
    <t>04SPLGPRTV</t>
  </si>
  <si>
    <t>SOPORTE PLEGADO PROTECCION VENTANA</t>
  </si>
  <si>
    <t>EQUIPADA 1/5</t>
  </si>
  <si>
    <t>03CRDELA10MM</t>
  </si>
  <si>
    <t>CORDON POLIPROPILENO 10MM X 10 MT</t>
  </si>
  <si>
    <t>08RACE2500KC</t>
  </si>
  <si>
    <t>RACIONES DE EMERGENCIA 2500 KCAL (9 BARRAS</t>
  </si>
  <si>
    <t xml:space="preserve">GONZALO RAMOS </t>
  </si>
  <si>
    <t>KIT PAR CUNAS C/PORTA CUNAS POLIURET. 5 TON INST.IZQ</t>
  </si>
  <si>
    <t>HUINCHA REFLECTANTE BLANCO 3M INST LAT/PORTALON</t>
  </si>
  <si>
    <t>04BERDDR</t>
  </si>
  <si>
    <t>BARRA EXTERIOR RIDDARA RD6</t>
  </si>
  <si>
    <t>04BIRDDR</t>
  </si>
  <si>
    <t>BARRA INTERIOR RIDDARA RD6</t>
  </si>
  <si>
    <t>SENSOR DE RETROCESO P/PLASTICO BLANCO P</t>
  </si>
  <si>
    <t xml:space="preserve">JMC GRAND AVENUE </t>
  </si>
  <si>
    <t xml:space="preserve">PENDIENTE POR EQUIPAR </t>
  </si>
  <si>
    <t xml:space="preserve">MALLA LUNETA 6M - 
( NO INSTALAR , DEJARLA EN EL VENHICULO Y LOS KIT DE PERNOS DENTRO DE LA CAMIONETA , EN UNA BOLSA ORDENADO) </t>
  </si>
  <si>
    <t>TATTERSAL QUILICURA</t>
  </si>
  <si>
    <t>DIEGO ALLENDES</t>
  </si>
  <si>
    <t>07CSODIC/C</t>
  </si>
  <si>
    <t>CADENA DE SEGURIDAD ODIS C/ CANDADO</t>
  </si>
  <si>
    <t>RIDDARA</t>
  </si>
  <si>
    <t>INSTALACION DE CAMARA DE RETROCEO Y SENSORES ORIGINALES
  ( LOS TIENE EL CLIENTE)</t>
  </si>
  <si>
    <t>25-05-026</t>
  </si>
  <si>
    <t>27-05-026</t>
  </si>
  <si>
    <t>HUINCHA REFLECTANTE BLANCO 3M INST  LAT/PORT/CAPOT</t>
  </si>
  <si>
    <t>03CORNAMUS</t>
  </si>
  <si>
    <t>CORNAMUSA P</t>
  </si>
  <si>
    <t xml:space="preserve">NEW L 200 </t>
  </si>
  <si>
    <t xml:space="preserve">PORTA EXTINTOR 10 KG MINERO INST EN  EL PICK UP </t>
  </si>
  <si>
    <t xml:space="preserve">KIT PAR CUNAS C/PORTA CUNAS MET. 5 TON INSTALADO
INST EN EL PICK UP </t>
  </si>
  <si>
    <t>17PERLC12CLRJII</t>
  </si>
  <si>
    <t>KIT PERTIGA 12P VARILLA LED COMPL. ROJA C/RESORTE C/LED ROJA I INST.</t>
  </si>
  <si>
    <t>FOCO FAENERO 9 LED REDONDO INSTALADO A LA REVERSA 
*Debe incluir Swicth de apagado*</t>
  </si>
  <si>
    <t>ALARMA RETROCESO INSTALADA A LA REVERSA 
*Debe incluir Swicth de apagado*</t>
  </si>
  <si>
    <t xml:space="preserve">HUINCHA REFLECTANTE VERDE LIMON 3M 
INST CAPO, PORTALON, LATERALES </t>
  </si>
  <si>
    <t>10EXT175</t>
  </si>
  <si>
    <t xml:space="preserve">EXTINTOR 1 KG AL 75% EN LA CABINA </t>
  </si>
  <si>
    <t>01COP90I</t>
  </si>
  <si>
    <t>CONO PVC 90 CM I</t>
  </si>
  <si>
    <t xml:space="preserve">INSTALACION DE CAMARA Y SENSORES ORIGINALES DE LA CAMIONETA </t>
  </si>
  <si>
    <t>KIT PERTIGA 12P VARILLA LED COMPL. ROJA C/RESORTE C/LED ROJA I INST. DENTRAS DEL LADO DE COPILOTO</t>
  </si>
  <si>
    <t>FOCO FAENERO 9 LED REDONDO
 INST PARTE IZQUIERDA DE LA CAMIONETA</t>
  </si>
  <si>
    <t>HUINCHA REFLECTANTE BLANCO 3M INST DE EXTREMO A EXTREMO</t>
  </si>
  <si>
    <t>FOCO FAENERO 9 LED REDONDO   INST CONECT REVERSA</t>
  </si>
  <si>
    <t>BARRA EXTERIOR COLORADO / TERRALORD /GRAND AVENUE</t>
  </si>
  <si>
    <t>EQUIPAMIENTO TOTAL</t>
  </si>
  <si>
    <t>01COP70BNI</t>
  </si>
  <si>
    <t>CONO PVC 70 CM BN I</t>
  </si>
  <si>
    <t>ECONORENT</t>
  </si>
  <si>
    <t>ALFREDO</t>
  </si>
  <si>
    <t xml:space="preserve"> BYD SHARK GS (HIBRIDA)</t>
  </si>
  <si>
    <t>POER 2.0 TD 4X4 ELITE F2</t>
  </si>
  <si>
    <t xml:space="preserve">CHEVROLET COLORADO 2.8 TD WT 4WD T </t>
  </si>
  <si>
    <t>CACCIUTOLO</t>
  </si>
  <si>
    <t>RAUL</t>
  </si>
  <si>
    <t>02CC-AALTI</t>
  </si>
  <si>
    <t>CORTA CORRIENTE P/AUTO ALT INSTALADO</t>
  </si>
  <si>
    <t>21IND24I</t>
  </si>
  <si>
    <t>INDICADOR GOTA 24 MM I</t>
  </si>
  <si>
    <t>BALLART EQUIPAMIENTOS</t>
  </si>
  <si>
    <t>CAMARA RET. C/VISOR GOMA INSTALADA</t>
  </si>
  <si>
    <t>TIRREAU Y COMPANIA</t>
  </si>
  <si>
    <t>YHERUMAR</t>
  </si>
  <si>
    <t>TRANSPORTE SIMUNOVIC</t>
  </si>
  <si>
    <t>BALIZA LED APER AMBAR H-STAR INST  IZQ</t>
  </si>
  <si>
    <t>HILUX 4X4 2.4 MT DX TS EURO VI</t>
  </si>
  <si>
    <t>COMERCIAL ALEX SAN MARTIN</t>
  </si>
  <si>
    <t>BALIZA LED APER AMBAR H-STAR INST IZQ</t>
  </si>
  <si>
    <t>HILUX 2.8 4X4 AT TDI D-C EURO 6</t>
  </si>
  <si>
    <t>Mitsubishi NEW L 200 D/</t>
  </si>
  <si>
    <t>VALENCARS</t>
  </si>
  <si>
    <t>CAJA CORTA CORRIENTE METÁLICA P/CAMIÓN 
MEDIDAS DE FABRICACION 15X15X15</t>
  </si>
  <si>
    <t>KIT PERTIGA 8P H-STAR C/LED ROJA INST DER</t>
  </si>
  <si>
    <t>HUINCHA REFLECTANTE VERDE LIMON 3M INST  LAT.PORT.CAP</t>
  </si>
  <si>
    <t>RANGER XLT 4X4 MT</t>
  </si>
  <si>
    <t>SIMMA RENT</t>
  </si>
  <si>
    <t>RENATO LIZAMA</t>
  </si>
  <si>
    <t>02KSSRPRXI</t>
  </si>
  <si>
    <t>CAMARA RETROCESO C/MONITOR 24V INSTALADO</t>
  </si>
  <si>
    <t>RETRO</t>
  </si>
  <si>
    <t>ECHEVERRIA IZQ</t>
  </si>
  <si>
    <t>02KP7L/SR/CAM24V</t>
  </si>
  <si>
    <t>KIT PANTALLA 7"/ SENSORES DE RET. / 4 CAMARAS 24V</t>
  </si>
  <si>
    <t>RETRO EXCAVADORA  JHON DEERE 310P</t>
  </si>
  <si>
    <t>RACIONES DE EMERGENCIA 2500 KCAL (9 BARRAS)</t>
  </si>
  <si>
    <t xml:space="preserve">NEW F-150 LARIAT BLACK </t>
  </si>
  <si>
    <t xml:space="preserve">DESINSTALACION DE BARRAS EXTERNA </t>
  </si>
  <si>
    <t xml:space="preserve">AVIS </t>
  </si>
  <si>
    <t>FORD NEW RANGER CREW</t>
  </si>
  <si>
    <t>EQUISOL</t>
  </si>
  <si>
    <t>09PCU120TM</t>
  </si>
  <si>
    <t>PORTA CUNAS METALICO 120 TON</t>
  </si>
  <si>
    <t>LOGISTICA INTEGRALES INGUSTREIN SPA</t>
  </si>
  <si>
    <t>RAICO</t>
  </si>
  <si>
    <t>KIT PERTIGA 12P H-STAR C/LED ROJA</t>
  </si>
  <si>
    <t>SEBASTIAN</t>
  </si>
  <si>
    <t>09CU60TAI</t>
  </si>
  <si>
    <t>CUNA POLIURETANO 60 TON I</t>
  </si>
  <si>
    <t>FLUTEK</t>
  </si>
  <si>
    <t>17PERLC10</t>
  </si>
  <si>
    <t>KIT PERTIGA 10P H-STAR C/LED ROJA</t>
  </si>
  <si>
    <t>T60 4X4 DX PLUS 6MT E6 Color : ROJO 2026</t>
  </si>
  <si>
    <t>03TRBVGEN</t>
  </si>
  <si>
    <t>TRABA VOLANTE GENERICO</t>
  </si>
  <si>
    <t>HILUX 4X4 2.4 MT DX</t>
  </si>
  <si>
    <t>CAJA PLASTICA 60 CM P INSTALADA - COMPRANDO</t>
  </si>
  <si>
    <t>07EST2X6</t>
  </si>
  <si>
    <t>ESLINGA 2" X 6 MTS OJO OJO</t>
  </si>
  <si>
    <t>EZEQUIEL</t>
  </si>
  <si>
    <t>INSTALACION DE BARRA LED 
( CLIENTE TIENE LA BARRA, SOLO INSTALAMOS)</t>
  </si>
  <si>
    <t xml:space="preserve">FORD RANGER </t>
  </si>
  <si>
    <t>04BEPORTER</t>
  </si>
  <si>
    <t>BARRA EXTERIOR PORTER-FRONTIER</t>
  </si>
  <si>
    <t>04BINP300</t>
  </si>
  <si>
    <t>BARRA INTERIOR FRONTIER</t>
  </si>
  <si>
    <t>04MLUNFRN</t>
  </si>
  <si>
    <t>MALLA LUNETA FRONTIER-PORTER</t>
  </si>
  <si>
    <t>KIA FRONTIER</t>
  </si>
  <si>
    <t>SERVIALL</t>
  </si>
  <si>
    <t xml:space="preserve">CUBRE PICK UP </t>
  </si>
  <si>
    <t>PORTA EXTINTOR 2 KG PLASTICO INST DENTRO DE LA CABINA</t>
  </si>
  <si>
    <t>02LDPTINST</t>
  </si>
  <si>
    <t>LUZ DIA POSITIVO INSTALADO</t>
  </si>
  <si>
    <t>03M150X90</t>
  </si>
  <si>
    <t>MALLA ELASTICA 150X90</t>
  </si>
  <si>
    <t xml:space="preserve">KIA FRONTIER </t>
  </si>
  <si>
    <t>02KESTROBI</t>
  </si>
  <si>
    <t>KIT ESTROBOSCOPICOS LED BLANCO INSTALADO</t>
  </si>
  <si>
    <t>SUZUKY JIMNY</t>
  </si>
  <si>
    <t>04BEXT6M3X2</t>
  </si>
  <si>
    <t>BARRA EXTERIOR 6M DE 3"X2MM</t>
  </si>
  <si>
    <t xml:space="preserve">VENTA POR MANO </t>
  </si>
  <si>
    <t>INGENIERIA FRISOLAGRO</t>
  </si>
  <si>
    <t>09CU20PCUM</t>
  </si>
  <si>
    <t>KIT PAR CUNAS C/PORTA CUNAS MET. 20 TON  INSTALADO</t>
  </si>
  <si>
    <t>06FF16LEC1</t>
  </si>
  <si>
    <t>FOCO FAENERO 16 LED CUADRADO INSTALADA</t>
  </si>
  <si>
    <t>13LMMAQMIN</t>
  </si>
  <si>
    <t>LAMINADO DE SEG. COMPLETO MAQUINARIA 8 Y 4 MILS TRANSP.</t>
  </si>
  <si>
    <t>01CPVC70BNVI</t>
  </si>
  <si>
    <t>CONO PVC 70 CM B/N VERDE I</t>
  </si>
  <si>
    <t>MITSUBISHI FUSO CANTER  613 EURO V 2026</t>
  </si>
  <si>
    <t>20INSTEBA</t>
  </si>
  <si>
    <t>INSTALACION RAMAL BALIZA C/B</t>
  </si>
  <si>
    <t xml:space="preserve">GONZALO LORCA </t>
  </si>
  <si>
    <t>08CPRSPNI</t>
  </si>
  <si>
    <t>CEPILLO RASPADOR DE NIEVE</t>
  </si>
  <si>
    <t>NEW L200 KATANA XRT E6</t>
  </si>
  <si>
    <t>ROCMIN</t>
  </si>
  <si>
    <t xml:space="preserve">NEW L200 </t>
  </si>
  <si>
    <t>POER 2.0 TD 4X4 DELUXE F2</t>
  </si>
  <si>
    <t>MALLA LUNETA 6M - NO INSTALAR
 ( DEJAR DENTRO DE LA CAMIONETA)</t>
  </si>
  <si>
    <t>04PCHPOER</t>
  </si>
  <si>
    <t>PARACHOQUE MINERO POER</t>
  </si>
  <si>
    <t xml:space="preserve">RAICO </t>
  </si>
  <si>
    <t>21IND19LI</t>
  </si>
  <si>
    <t>INDICADOR GOTA 19 MM ALTO I</t>
  </si>
  <si>
    <t>MAZDA BT50 2026</t>
  </si>
  <si>
    <t xml:space="preserve">SEYGEM </t>
  </si>
  <si>
    <t>BARRA EXTERIOR FOTON</t>
  </si>
  <si>
    <t>BARRA INTERIOR FOTON</t>
  </si>
  <si>
    <t>MALLA LUNETA FOTON</t>
  </si>
  <si>
    <t>FOTON</t>
  </si>
  <si>
    <t>COMERCIALIZADORA ALEX</t>
  </si>
  <si>
    <t xml:space="preserve">EQUIPA CHILE </t>
  </si>
  <si>
    <t>DESINSTALACION DE PERTIGA</t>
  </si>
  <si>
    <t>DESINSTALACION DE BALIZA</t>
  </si>
  <si>
    <t xml:space="preserve">DESINSTALACION DE PORTA LETRERO </t>
  </si>
  <si>
    <t xml:space="preserve">JES PIPELINES </t>
  </si>
  <si>
    <t xml:space="preserve">CARLOS </t>
  </si>
  <si>
    <t>INSTALACION RAMAL PERTIGA C/B 
(LA PERTIGA LA TIENE EL CLIENTE)</t>
  </si>
  <si>
    <t>KIT PERTIGA 10P VARILLA LED COMPLETA H-STAR R I INST</t>
  </si>
  <si>
    <t>07PLTGO6</t>
  </si>
  <si>
    <t>PULPO TENSOR GOMA 6 RAMALES P</t>
  </si>
  <si>
    <t>03LLA16FE6</t>
  </si>
  <si>
    <t>LLANTA ARO 16 FIERRO</t>
  </si>
  <si>
    <t>L200 NEW</t>
  </si>
  <si>
    <t xml:space="preserve">POR MANO </t>
  </si>
  <si>
    <t>POR MANO</t>
  </si>
  <si>
    <t>PARRON</t>
  </si>
  <si>
    <t>IVC</t>
  </si>
  <si>
    <t>SIMMA</t>
  </si>
  <si>
    <t>MARCELA VASQUEZ</t>
  </si>
  <si>
    <t xml:space="preserve">BOBCAT S650 SN </t>
  </si>
  <si>
    <t>S530 SN</t>
  </si>
  <si>
    <t>04BENAVARA</t>
  </si>
  <si>
    <t>BARRA EXTERIOR NAVARA</t>
  </si>
  <si>
    <t>04BINAVARA</t>
  </si>
  <si>
    <t>BARRA INTERIOR NAVARA</t>
  </si>
  <si>
    <t>NISSA NAVARA 2024</t>
  </si>
  <si>
    <t xml:space="preserve">NEW MUSSO GRAND </t>
  </si>
  <si>
    <t>AUTOKAS</t>
  </si>
  <si>
    <t>ROMINA</t>
  </si>
  <si>
    <t> GRAND AVENUE 2026</t>
  </si>
  <si>
    <t>GUSTAVO CANALES</t>
  </si>
  <si>
    <t>03EXTAEG</t>
  </si>
  <si>
    <t>EXTRACTOR DE AIRE EOLICO GIRATORIO</t>
  </si>
  <si>
    <t>PARTNER MCA L1 DIESEL 100HP MT</t>
  </si>
  <si>
    <t>FOCO FAENERO 9 LED CUADRADO INST CONECT REVERSA X2</t>
  </si>
  <si>
    <t>HILUX 2.4 MT 4X2 DX D-C DSL EVI</t>
  </si>
  <si>
    <t>B.R RENTAL</t>
  </si>
  <si>
    <t>10GAB610P</t>
  </si>
  <si>
    <t>GABINETE EXTINTOR 6-10 KG INSTALADO</t>
  </si>
  <si>
    <t>02CC-CNOSI</t>
  </si>
  <si>
    <t>CORTA CORRIENTE P/CAMION NOSSO INSTALADO</t>
  </si>
  <si>
    <t>13SH55MUL</t>
  </si>
  <si>
    <t>HUINCHA REFLECTANTE MULTICOLOR INSTALDA</t>
  </si>
  <si>
    <t>TRANSIT BUS</t>
  </si>
  <si>
    <t>KIT PERTIGA 10P H-STAR C/LED ROJA INST  DER.</t>
  </si>
  <si>
    <t>BALIZA LED APER AZUL H-STAR INST INST. IZQ</t>
  </si>
  <si>
    <t>FOCO FAENERO 9 LED CUADRADO INST  REVERSA X2</t>
  </si>
  <si>
    <t xml:space="preserve">MANTENCIÓN Y REPARACIÓN INDUST CRISTIAN </t>
  </si>
  <si>
    <t xml:space="preserve">BARRA EXTERIOR MAXUS </t>
  </si>
  <si>
    <t xml:space="preserve">BARRA INTERIOR MAXUS </t>
  </si>
  <si>
    <t xml:space="preserve">MALLA LUNETA MAXUS </t>
  </si>
  <si>
    <t>MAXUS C35 DOBLE CAB</t>
  </si>
  <si>
    <t xml:space="preserve">DESINSTALACION  DE HUINCHA </t>
  </si>
  <si>
    <t>GONZLO GALLARDO</t>
  </si>
  <si>
    <t>INGENIERIA Y MANTENCION INDUSTRIAL</t>
  </si>
  <si>
    <t>DESINSTALACION DE LONA MARITIMA</t>
  </si>
  <si>
    <t>04BETERRALORD</t>
  </si>
  <si>
    <t>BARRA EXTERIOR TERRALORD</t>
  </si>
  <si>
    <t>21IND21LI</t>
  </si>
  <si>
    <t>INDICADOR GOTA 21 MM ALTO I</t>
  </si>
  <si>
    <t> XZ TERRALORD</t>
  </si>
  <si>
    <t>04SOPFC/BLZB</t>
  </si>
  <si>
    <t xml:space="preserve">SOPORTE  BALIZA </t>
  </si>
  <si>
    <t>JAXX X200</t>
  </si>
  <si>
    <t xml:space="preserve">ELECTROHIDRAULICA </t>
  </si>
  <si>
    <t>KIT PIOLA CON ABRAZADERA 3/16 PARA CUNAS (1 SET)</t>
  </si>
  <si>
    <t>PORTA CUNAS METALICO 5 TON A LA BARRA</t>
  </si>
  <si>
    <t>CUNA POLIURETANO 5 TON I</t>
  </si>
  <si>
    <t>ALARMA RETROCESO I</t>
  </si>
  <si>
    <t>BALIZA LED APER AMBAR H-STAR I</t>
  </si>
  <si>
    <t>03FBNGRI</t>
  </si>
  <si>
    <t>FUNDA BALIZA NEGRO I</t>
  </si>
  <si>
    <t>MAXUS T-60 CAB.SIMPLE</t>
  </si>
  <si>
    <t>DESINSTALACION DE BARRA DOBLE A LA BARANDA</t>
  </si>
  <si>
    <t xml:space="preserve">DESINSTALACION DE LONA MARITIMA </t>
  </si>
  <si>
    <t>BRANCO</t>
  </si>
  <si>
    <t>CAMION PLUMA MACK GR64BX</t>
  </si>
  <si>
    <t>MARCELA</t>
  </si>
  <si>
    <t>02CJCCMMQ</t>
  </si>
  <si>
    <t>CAJA CORTA CORRIENTE METALICA P/MAQUINARIA</t>
  </si>
  <si>
    <t>02BOPAEMI</t>
  </si>
  <si>
    <t>BOTON PARADA EMERGENCIA INSTALADA</t>
  </si>
  <si>
    <t xml:space="preserve">Manipulador telescópico Modelo T41140 SN </t>
  </si>
  <si>
    <t>02SRGOMI</t>
  </si>
  <si>
    <t>SENSOR DE RETROCESO P/METAL INSTALADO</t>
  </si>
  <si>
    <t>MONTANA 1.2T LT MT S Onstar</t>
  </si>
  <si>
    <t>A LA ESPERA QUE CONFIRME SI ES BARRA EXTERIOR o
 BARRA PORTA OBJETO ( por favor llevar las dos barras )</t>
  </si>
  <si>
    <t>17PERLC10CI</t>
  </si>
  <si>
    <t>KIT PERTIGA 10P VARILLA LED COMPLETA C/RESORTE H-STAR R I</t>
  </si>
  <si>
    <t xml:space="preserve">HUINCHA REFLECTANTE MULTICOLOR 3M INST VERDE LIMON A LOS COSTADOS
ROJA TAPA TRASERA, BLANCA EN EL CAPO </t>
  </si>
  <si>
    <t>SUZUKI NEW SWIFT</t>
  </si>
  <si>
    <t>DESLAMINADO DE SEGURIDAD</t>
  </si>
  <si>
    <t>03SNCFCL200</t>
  </si>
  <si>
    <t>SNORKELS C/FILTRO CICLONICO MIT. L200</t>
  </si>
  <si>
    <t>L200 2024</t>
  </si>
  <si>
    <t>ALEJANDRO</t>
  </si>
  <si>
    <t xml:space="preserve">CAMARA RET. C/VISOR Y SENSOR RET. GOMA 
INST CONECTADA A LA PANTALLA DE RADIO </t>
  </si>
  <si>
    <t>RAM V700</t>
  </si>
  <si>
    <t>EISESA</t>
  </si>
  <si>
    <t>04ENGL200</t>
  </si>
  <si>
    <t>ENGANCHE AMERICANO L200</t>
  </si>
  <si>
    <t>MITSUBISHI L200</t>
  </si>
  <si>
    <t>ALEJANDRO PUENTES</t>
  </si>
  <si>
    <t>02SRGOMX4</t>
  </si>
  <si>
    <t>SENSOR DE RETROCESO GOMA REPUESTO X4</t>
  </si>
  <si>
    <t>03BRCSEG</t>
  </si>
  <si>
    <t>BANDA REFLECTANTE CINTURON DE SEGURIDAD</t>
  </si>
  <si>
    <t>TOYOTA HILUX CAB. SIMPLE</t>
  </si>
  <si>
    <t>HUINCHA REFLECTANTE VERDE LIMON 3M INSTALADA  
TODO EL CONTORNO</t>
  </si>
  <si>
    <t>700 BIGHORN CREW CAB 1.3 MTna XRT</t>
  </si>
  <si>
    <t>04BEAMAROK</t>
  </si>
  <si>
    <t>BARRA EXTERIOR AMAROK</t>
  </si>
  <si>
    <t>04BIAMAROK</t>
  </si>
  <si>
    <t>BARRA INTERIOR AMAROK</t>
  </si>
  <si>
    <t>04MLUNESP</t>
  </si>
  <si>
    <t>MALLA LUNETA ESPECIAL</t>
  </si>
  <si>
    <t>WINGLE 7 2.0 TD 4X4 DELUXE F2</t>
  </si>
  <si>
    <t>MAFRTIN AGUILAR</t>
  </si>
  <si>
    <t>08CP-50PI</t>
  </si>
  <si>
    <t>CAJA PLASTICA 50 CM P INSTALADA</t>
  </si>
  <si>
    <t>07ET5/8X4I</t>
  </si>
  <si>
    <t>ESTROBO 5/8 X 4 MTS OJO OJO I</t>
  </si>
  <si>
    <t>20INSTKMIN</t>
  </si>
  <si>
    <t>INSTALACION DE FILTRO ANTIRUIDO PARA SISTEMA DE CAMARA</t>
  </si>
  <si>
    <t>CAMION PLUMA MACK GR64BX MOTOR: MP8 1464865</t>
  </si>
  <si>
    <t>YHERIMAR</t>
  </si>
  <si>
    <t>20DESTACEL</t>
  </si>
  <si>
    <t>DESINSTALACION DEL ENGANCHE EN LA UNIDAD
MAXUS T60 PPU: TBWC72</t>
  </si>
  <si>
    <t>INSTALACION DE ENGANCHE EN UNIDAD MAXUS T60 PPU: VCBY36
YA DESINSTALADO EN LA UNIDAD MAXUS T60 PPU: TBWC72</t>
  </si>
  <si>
    <t>MAXUS T60 /2024 - 2025</t>
  </si>
  <si>
    <t>VICTOR AMIGO</t>
  </si>
  <si>
    <t>07CAM2845</t>
  </si>
  <si>
    <t>CADENAS DE NIEVE 2845</t>
  </si>
  <si>
    <t>07GRT1I</t>
  </si>
  <si>
    <t>GRILLETE 1 I</t>
  </si>
  <si>
    <t xml:space="preserve">BUS / TAXI BUSES </t>
  </si>
  <si>
    <t>KIT PERTIGA 10P H-STAR C/LED ROJA INST DER A P/UP</t>
  </si>
  <si>
    <t>CRISTIAN JARA</t>
  </si>
  <si>
    <t>L200 2026</t>
  </si>
  <si>
    <t>09PIAB1/8</t>
  </si>
  <si>
    <t>KIT PIOLA CON ABRAZADERA 1/8 PARA CUNAS (1 SET)</t>
  </si>
  <si>
    <t>13GRPTTC</t>
  </si>
  <si>
    <t>GRABADO DE PATENTE COMPLETO</t>
  </si>
  <si>
    <t>11SPRAMAI</t>
  </si>
  <si>
    <t>PINTURA AMARILLO LLANTA RPTO</t>
  </si>
  <si>
    <t>19BOMESCBHP</t>
  </si>
  <si>
    <t>BOTIQUIN MIN. ESCONDIDA BHP MEL</t>
  </si>
  <si>
    <t>04MLUNTERRA</t>
  </si>
  <si>
    <t>MALLA LUNETA POER</t>
  </si>
  <si>
    <t>Great Wall WINGLE 7 2.0 TD 4X4 DELUXE F2</t>
  </si>
  <si>
    <t>Great Wall POER 2.0 TD 4X4 ELITE F2</t>
  </si>
  <si>
    <t>CAMION PLUMA MACK GR64BX AÑO: 2026</t>
  </si>
  <si>
    <t>CONSTRUCCIONES Y SERVICIOS SIGLO VERDE S A</t>
  </si>
  <si>
    <t>04BEFTG7</t>
  </si>
  <si>
    <t>BARRA EXTERIOR FOTON G7</t>
  </si>
  <si>
    <t>FOTON G7 2026</t>
  </si>
  <si>
    <t>02MDINTENG</t>
  </si>
  <si>
    <t>MODULO DE INTERFACE PARA ENGANCHE 12V 10mA</t>
  </si>
  <si>
    <t>04ENGESP</t>
  </si>
  <si>
    <t>ENGANCHE AMERICANO ESPECIAL</t>
  </si>
  <si>
    <t>TRANSITVAN 2.0L MT 4X4 (L3H3)</t>
  </si>
  <si>
    <t>KIT PERTIGA 10P VARILLA LED COMPLETA H-STAR R I INST  DER</t>
  </si>
  <si>
    <t>ATS</t>
  </si>
  <si>
    <t>08ESCAC</t>
  </si>
  <si>
    <t>ESCOBILLA ACERO</t>
  </si>
  <si>
    <t>03CUDIAM</t>
  </si>
  <si>
    <t>CUBRE PICK UP DIAMANTADO</t>
  </si>
  <si>
    <t>PORTA EXTINTOR 2 KG PLASTICO INSTALADO</t>
  </si>
  <si>
    <t>LUIS A</t>
  </si>
  <si>
    <t xml:space="preserve"> </t>
  </si>
  <si>
    <t>MANUEL</t>
  </si>
  <si>
    <t>MARCO ANTONIO</t>
  </si>
  <si>
    <t>MAXUS 4X2</t>
  </si>
  <si>
    <t>JORGE PINTO</t>
  </si>
  <si>
    <t>04PCHL200</t>
  </si>
  <si>
    <t>PARACHOQUE MINERO L200</t>
  </si>
  <si>
    <t>MITSUBISHI L200 2021</t>
  </si>
  <si>
    <t>PROVEEDOR EXTERNO</t>
  </si>
  <si>
    <t>PENDIENTE DE EQUIPAR</t>
  </si>
  <si>
    <t xml:space="preserve">HUINCHA REFLECTANTE BLANCO 3M INST LATERALES Y PORTALON </t>
  </si>
  <si>
    <t>HILUX DX 4X4 2.4 MT</t>
  </si>
  <si>
    <t>Maxus 4x2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</si>
</sst>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sz val="16"/>
      <color rgb="FFFFFFFF"/>
      <name val="Calibri"/>
      <family val="2"/>
      <scheme val="minor"/>
    </font>
    <font>
      <sz val="16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theme="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FF99FF"/>
        <bgColor theme="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17">
    <xf numFmtId="0" fontId="0" fillId="0" borderId="0" xfId="0"/>
    <xf numFmtId="0" fontId="2" fillId="0" borderId="0" xfId="1"/>
    <xf numFmtId="0" fontId="3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1" fillId="0" borderId="0" xfId="1" applyFont="1"/>
    <xf numFmtId="0" fontId="1" fillId="0" borderId="0" xfId="1" applyFont="1" applyAlignment="1">
      <alignment horizontal="center"/>
    </xf>
    <xf numFmtId="0" fontId="1" fillId="0" borderId="0" xfId="1" applyFont="1" applyAlignment="1">
      <alignment horizontal="left"/>
    </xf>
    <xf numFmtId="0" fontId="4" fillId="4" borderId="0" xfId="1" applyFont="1" applyFill="1" applyAlignment="1">
      <alignment horizontal="center" vertical="center"/>
    </xf>
    <xf numFmtId="0" fontId="4" fillId="4" borderId="0" xfId="1" applyFont="1" applyFill="1" applyAlignment="1">
      <alignment horizontal="center" vertical="center" wrapText="1"/>
    </xf>
    <xf numFmtId="0" fontId="2" fillId="0" borderId="0" xfId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2" fillId="0" borderId="0" xfId="1" applyAlignment="1">
      <alignment horizontal="left" vertical="center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left" vertical="center" wrapText="1"/>
    </xf>
    <xf numFmtId="0" fontId="3" fillId="0" borderId="0" xfId="1" applyFont="1" applyAlignment="1">
      <alignment horizontal="right"/>
    </xf>
    <xf numFmtId="0" fontId="2" fillId="0" borderId="0" xfId="1" applyAlignment="1">
      <alignment horizontal="right" vertical="center"/>
    </xf>
    <xf numFmtId="0" fontId="8" fillId="3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7" fillId="0" borderId="0" xfId="0" applyFont="1"/>
    <xf numFmtId="0" fontId="6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7" fillId="0" borderId="1" xfId="0" applyFont="1" applyBorder="1"/>
    <xf numFmtId="0" fontId="6" fillId="0" borderId="3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5" xfId="1" applyBorder="1" applyAlignment="1">
      <alignment horizontal="left" vertical="center"/>
    </xf>
    <xf numFmtId="0" fontId="2" fillId="0" borderId="6" xfId="1" applyBorder="1" applyAlignment="1">
      <alignment horizontal="center" vertical="center"/>
    </xf>
    <xf numFmtId="0" fontId="2" fillId="0" borderId="6" xfId="1" applyBorder="1" applyAlignment="1">
      <alignment horizontal="right" vertical="center"/>
    </xf>
    <xf numFmtId="0" fontId="2" fillId="0" borderId="7" xfId="1" applyBorder="1"/>
    <xf numFmtId="0" fontId="2" fillId="0" borderId="8" xfId="1" applyBorder="1" applyAlignment="1">
      <alignment horizontal="left" vertical="center"/>
    </xf>
    <xf numFmtId="0" fontId="2" fillId="0" borderId="9" xfId="1" applyBorder="1"/>
    <xf numFmtId="0" fontId="2" fillId="0" borderId="10" xfId="1" applyBorder="1" applyAlignment="1">
      <alignment horizontal="left" vertical="center"/>
    </xf>
    <xf numFmtId="0" fontId="2" fillId="0" borderId="3" xfId="1" applyBorder="1" applyAlignment="1">
      <alignment horizontal="center" vertical="center"/>
    </xf>
    <xf numFmtId="0" fontId="2" fillId="0" borderId="3" xfId="1" applyBorder="1" applyAlignment="1">
      <alignment horizontal="right" vertical="center"/>
    </xf>
    <xf numFmtId="0" fontId="2" fillId="0" borderId="11" xfId="1" applyBorder="1"/>
    <xf numFmtId="0" fontId="2" fillId="0" borderId="8" xfId="1" applyBorder="1"/>
    <xf numFmtId="0" fontId="2" fillId="0" borderId="9" xfId="1" applyBorder="1" applyAlignment="1">
      <alignment horizontal="center"/>
    </xf>
    <xf numFmtId="0" fontId="2" fillId="0" borderId="8" xfId="1" applyBorder="1" applyAlignment="1">
      <alignment horizontal="left"/>
    </xf>
    <xf numFmtId="0" fontId="2" fillId="0" borderId="10" xfId="1" applyBorder="1"/>
    <xf numFmtId="0" fontId="2" fillId="0" borderId="3" xfId="1" applyBorder="1" applyAlignment="1">
      <alignment horizontal="center"/>
    </xf>
    <xf numFmtId="0" fontId="2" fillId="0" borderId="3" xfId="1" applyBorder="1"/>
    <xf numFmtId="0" fontId="9" fillId="0" borderId="0" xfId="1" applyFont="1"/>
    <xf numFmtId="0" fontId="2" fillId="5" borderId="8" xfId="1" applyFill="1" applyBorder="1"/>
    <xf numFmtId="0" fontId="2" fillId="5" borderId="0" xfId="1" applyFill="1" applyAlignment="1">
      <alignment horizontal="center"/>
    </xf>
    <xf numFmtId="0" fontId="2" fillId="5" borderId="0" xfId="1" applyFill="1"/>
    <xf numFmtId="0" fontId="2" fillId="5" borderId="9" xfId="1" applyFill="1" applyBorder="1"/>
    <xf numFmtId="0" fontId="9" fillId="5" borderId="8" xfId="1" applyFont="1" applyFill="1" applyBorder="1"/>
    <xf numFmtId="0" fontId="7" fillId="0" borderId="13" xfId="0" applyFont="1" applyBorder="1"/>
    <xf numFmtId="0" fontId="6" fillId="0" borderId="13" xfId="0" applyFont="1" applyBorder="1" applyAlignment="1">
      <alignment horizontal="center"/>
    </xf>
    <xf numFmtId="0" fontId="7" fillId="0" borderId="12" xfId="0" applyFont="1" applyBorder="1"/>
    <xf numFmtId="0" fontId="6" fillId="0" borderId="12" xfId="0" applyFont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8" fillId="3" borderId="13" xfId="0" applyFont="1" applyFill="1" applyBorder="1" applyAlignment="1">
      <alignment horizontal="center"/>
    </xf>
    <xf numFmtId="0" fontId="6" fillId="6" borderId="13" xfId="0" applyFont="1" applyFill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6" fillId="7" borderId="13" xfId="0" applyFont="1" applyFill="1" applyBorder="1" applyAlignment="1">
      <alignment horizontal="center"/>
    </xf>
    <xf numFmtId="0" fontId="11" fillId="0" borderId="1" xfId="0" applyFont="1" applyBorder="1"/>
    <xf numFmtId="0" fontId="6" fillId="8" borderId="13" xfId="0" applyFont="1" applyFill="1" applyBorder="1" applyAlignment="1">
      <alignment horizontal="center"/>
    </xf>
    <xf numFmtId="0" fontId="5" fillId="9" borderId="1" xfId="0" applyFont="1" applyFill="1" applyBorder="1" applyAlignment="1">
      <alignment horizontal="center"/>
    </xf>
    <xf numFmtId="0" fontId="5" fillId="9" borderId="12" xfId="0" applyFont="1" applyFill="1" applyBorder="1" applyAlignment="1">
      <alignment horizontal="center"/>
    </xf>
    <xf numFmtId="14" fontId="6" fillId="0" borderId="12" xfId="0" applyNumberFormat="1" applyFont="1" applyBorder="1" applyAlignment="1">
      <alignment horizontal="center"/>
    </xf>
    <xf numFmtId="0" fontId="7" fillId="7" borderId="12" xfId="0" applyFont="1" applyFill="1" applyBorder="1"/>
    <xf numFmtId="0" fontId="6" fillId="7" borderId="12" xfId="0" applyFont="1" applyFill="1" applyBorder="1" applyAlignment="1">
      <alignment horizontal="center"/>
    </xf>
    <xf numFmtId="0" fontId="7" fillId="0" borderId="1" xfId="0" applyFont="1" applyBorder="1" applyAlignment="1">
      <alignment wrapText="1"/>
    </xf>
    <xf numFmtId="0" fontId="5" fillId="7" borderId="12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/>
    </xf>
    <xf numFmtId="0" fontId="5" fillId="2" borderId="4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center" vertical="center"/>
    </xf>
    <xf numFmtId="14" fontId="5" fillId="2" borderId="4" xfId="0" applyNumberFormat="1" applyFont="1" applyFill="1" applyBorder="1" applyAlignment="1">
      <alignment vertical="center"/>
    </xf>
    <xf numFmtId="0" fontId="5" fillId="2" borderId="16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1" xfId="0" applyBorder="1"/>
    <xf numFmtId="0" fontId="7" fillId="0" borderId="2" xfId="0" applyFont="1" applyBorder="1"/>
    <xf numFmtId="0" fontId="6" fillId="0" borderId="17" xfId="0" applyFont="1" applyBorder="1" applyAlignment="1">
      <alignment horizontal="center"/>
    </xf>
    <xf numFmtId="0" fontId="5" fillId="12" borderId="1" xfId="0" applyFont="1" applyFill="1" applyBorder="1" applyAlignment="1">
      <alignment horizontal="center" vertical="center"/>
    </xf>
    <xf numFmtId="0" fontId="6" fillId="0" borderId="18" xfId="0" applyFont="1" applyBorder="1" applyAlignment="1">
      <alignment horizontal="center"/>
    </xf>
    <xf numFmtId="0" fontId="0" fillId="0" borderId="12" xfId="0" applyBorder="1"/>
    <xf numFmtId="0" fontId="0" fillId="0" borderId="3" xfId="0" applyBorder="1"/>
    <xf numFmtId="0" fontId="6" fillId="0" borderId="19" xfId="0" applyFont="1" applyBorder="1" applyAlignment="1">
      <alignment horizontal="center"/>
    </xf>
    <xf numFmtId="0" fontId="7" fillId="0" borderId="19" xfId="0" applyFont="1" applyBorder="1"/>
    <xf numFmtId="0" fontId="7" fillId="0" borderId="15" xfId="0" applyFont="1" applyBorder="1"/>
    <xf numFmtId="0" fontId="6" fillId="0" borderId="21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6" borderId="0" xfId="0" applyFont="1" applyFill="1" applyAlignment="1">
      <alignment horizontal="center"/>
    </xf>
    <xf numFmtId="0" fontId="0" fillId="0" borderId="23" xfId="0" applyBorder="1"/>
    <xf numFmtId="0" fontId="7" fillId="0" borderId="18" xfId="0" applyFont="1" applyBorder="1"/>
    <xf numFmtId="0" fontId="8" fillId="0" borderId="19" xfId="0" applyFont="1" applyBorder="1" applyAlignment="1">
      <alignment horizontal="center"/>
    </xf>
    <xf numFmtId="0" fontId="6" fillId="9" borderId="1" xfId="0" applyFont="1" applyFill="1" applyBorder="1" applyAlignment="1">
      <alignment horizontal="center"/>
    </xf>
    <xf numFmtId="0" fontId="6" fillId="8" borderId="0" xfId="0" applyFont="1" applyFill="1" applyAlignment="1">
      <alignment horizontal="center"/>
    </xf>
    <xf numFmtId="0" fontId="12" fillId="7" borderId="1" xfId="0" applyFont="1" applyFill="1" applyBorder="1"/>
    <xf numFmtId="0" fontId="7" fillId="7" borderId="1" xfId="0" applyFont="1" applyFill="1" applyBorder="1"/>
    <xf numFmtId="0" fontId="12" fillId="7" borderId="12" xfId="0" applyFont="1" applyFill="1" applyBorder="1"/>
    <xf numFmtId="0" fontId="6" fillId="10" borderId="18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14" xfId="0" applyNumberFormat="1" applyFont="1" applyBorder="1" applyAlignment="1">
      <alignment horizontal="center"/>
    </xf>
    <xf numFmtId="14" fontId="6" fillId="0" borderId="15" xfId="0" applyNumberFormat="1" applyFont="1" applyBorder="1" applyAlignment="1">
      <alignment horizontal="center"/>
    </xf>
    <xf numFmtId="14" fontId="6" fillId="0" borderId="20" xfId="0" applyNumberFormat="1" applyFont="1" applyBorder="1" applyAlignment="1">
      <alignment horizontal="center"/>
    </xf>
    <xf numFmtId="14" fontId="6" fillId="7" borderId="14" xfId="0" applyNumberFormat="1" applyFont="1" applyFill="1" applyBorder="1" applyAlignment="1">
      <alignment horizontal="center"/>
    </xf>
    <xf numFmtId="14" fontId="6" fillId="0" borderId="1" xfId="0" applyNumberFormat="1" applyFont="1" applyBorder="1" applyAlignment="1">
      <alignment horizontal="center"/>
    </xf>
    <xf numFmtId="14" fontId="6" fillId="0" borderId="24" xfId="0" applyNumberFormat="1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5" fillId="2" borderId="4" xfId="0" applyNumberFormat="1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0" fontId="10" fillId="0" borderId="13" xfId="0" applyFont="1" applyBorder="1"/>
    <xf numFmtId="0" fontId="7" fillId="7" borderId="13" xfId="0" applyFont="1" applyFill="1" applyBorder="1"/>
    <xf numFmtId="0" fontId="8" fillId="8" borderId="13" xfId="0" applyFont="1" applyFill="1" applyBorder="1" applyAlignment="1">
      <alignment horizontal="center"/>
    </xf>
    <xf numFmtId="0" fontId="8" fillId="8" borderId="12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8" fillId="8" borderId="1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7" fillId="0" borderId="13" xfId="0" applyFont="1" applyBorder="1" applyAlignment="1">
      <alignment wrapText="1"/>
    </xf>
    <xf numFmtId="14" fontId="6" fillId="0" borderId="13" xfId="0" applyNumberFormat="1" applyFont="1" applyBorder="1" applyAlignment="1">
      <alignment horizontal="center"/>
    </xf>
    <xf numFmtId="0" fontId="0" fillId="0" borderId="13" xfId="0" applyBorder="1"/>
    <xf numFmtId="0" fontId="7" fillId="0" borderId="22" xfId="0" applyFont="1" applyBorder="1"/>
    <xf numFmtId="14" fontId="6" fillId="0" borderId="25" xfId="0" applyNumberFormat="1" applyFont="1" applyBorder="1" applyAlignment="1">
      <alignment horizontal="center"/>
    </xf>
    <xf numFmtId="0" fontId="3" fillId="0" borderId="0" xfId="1" applyFont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91"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ill>
        <patternFill>
          <bgColor rgb="FF66FF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ill>
        <patternFill>
          <bgColor rgb="FF66FF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ill>
        <patternFill>
          <bgColor rgb="FF66FF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ill>
        <patternFill>
          <bgColor rgb="FF66FF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 val="0"/>
        <color rgb="FFC00000"/>
      </font>
      <fill>
        <patternFill>
          <bgColor rgb="FF99FF66"/>
        </patternFill>
      </fill>
    </dxf>
    <dxf>
      <font>
        <b/>
        <i/>
        <color theme="0"/>
      </font>
      <fill>
        <patternFill>
          <bgColor rgb="FFFF66FF"/>
        </patternFill>
      </fill>
    </dxf>
    <dxf>
      <font>
        <b/>
        <i val="0"/>
        <u/>
      </font>
      <fill>
        <patternFill>
          <bgColor rgb="FFFF99FF"/>
        </patternFill>
      </fill>
    </dxf>
    <dxf>
      <fill>
        <patternFill>
          <bgColor rgb="FF66FFFF"/>
        </patternFill>
      </fill>
    </dxf>
    <dxf>
      <fill>
        <patternFill>
          <bgColor rgb="FF66FFFF"/>
        </patternFill>
      </fill>
    </dxf>
    <dxf>
      <fill>
        <patternFill>
          <bgColor rgb="FF66FFFF"/>
        </patternFill>
      </fill>
    </dxf>
    <dxf>
      <fill>
        <patternFill>
          <bgColor rgb="FF66FFFF"/>
        </patternFill>
      </fill>
    </dxf>
    <dxf>
      <fill>
        <patternFill>
          <bgColor rgb="FF66FFFF"/>
        </patternFill>
      </fill>
    </dxf>
    <dxf>
      <fill>
        <patternFill>
          <bgColor rgb="FF66FFFF"/>
        </patternFill>
      </fill>
    </dxf>
    <dxf>
      <fill>
        <patternFill>
          <bgColor rgb="FF66FFFF"/>
        </patternFill>
      </fill>
    </dxf>
    <dxf>
      <fill>
        <patternFill>
          <bgColor rgb="FF66FF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ont>
        <b/>
        <i val="0"/>
        <color rgb="FFC00000"/>
      </font>
      <fill>
        <patternFill>
          <bgColor rgb="FF99FF66"/>
        </patternFill>
      </fill>
    </dxf>
    <dxf>
      <font>
        <b/>
        <i val="0"/>
        <u/>
      </font>
      <fill>
        <patternFill>
          <bgColor rgb="FFFF99FF"/>
        </patternFill>
      </fill>
    </dxf>
    <dxf>
      <fill>
        <patternFill>
          <bgColor rgb="FF66FF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ill>
        <patternFill>
          <bgColor rgb="FF66FFFF"/>
        </patternFill>
      </fill>
    </dxf>
    <dxf>
      <fill>
        <patternFill>
          <bgColor rgb="FF66FFFF"/>
        </patternFill>
      </fill>
    </dxf>
    <dxf>
      <fill>
        <patternFill>
          <bgColor rgb="FF66FFFF"/>
        </patternFill>
      </fill>
    </dxf>
    <dxf>
      <fill>
        <patternFill>
          <bgColor rgb="FF66FFFF"/>
        </patternFill>
      </fill>
    </dxf>
    <dxf>
      <fill>
        <patternFill>
          <bgColor rgb="FF66FFFF"/>
        </patternFill>
      </fill>
    </dxf>
    <dxf>
      <fill>
        <patternFill>
          <bgColor rgb="FF66FF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ill>
        <patternFill>
          <bgColor rgb="FF66FF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ont>
        <b/>
        <i val="0"/>
        <color rgb="FFC00000"/>
      </font>
      <fill>
        <patternFill>
          <bgColor rgb="FF99FF66"/>
        </patternFill>
      </fill>
    </dxf>
    <dxf>
      <font>
        <b/>
        <i val="0"/>
        <u/>
      </font>
      <fill>
        <patternFill>
          <bgColor rgb="FFFF99FF"/>
        </patternFill>
      </fill>
    </dxf>
    <dxf>
      <fill>
        <patternFill>
          <bgColor rgb="FF66FFFF"/>
        </patternFill>
      </fill>
    </dxf>
    <dxf>
      <font>
        <b/>
        <i val="0"/>
        <u/>
      </font>
      <fill>
        <patternFill>
          <bgColor rgb="FFFF99FF"/>
        </patternFill>
      </fill>
    </dxf>
    <dxf>
      <font>
        <b/>
        <i/>
        <color theme="0"/>
      </font>
      <fill>
        <patternFill>
          <bgColor rgb="FFFF66FF"/>
        </patternFill>
      </fill>
    </dxf>
    <dxf>
      <fill>
        <patternFill>
          <bgColor rgb="FF66FFFF"/>
        </patternFill>
      </fill>
    </dxf>
    <dxf>
      <fill>
        <patternFill>
          <bgColor rgb="FF66FFFF"/>
        </patternFill>
      </fill>
    </dxf>
    <dxf>
      <fill>
        <patternFill>
          <bgColor rgb="FF66FFFF"/>
        </patternFill>
      </fill>
    </dxf>
    <dxf>
      <fill>
        <patternFill>
          <bgColor rgb="FF66FFFF"/>
        </patternFill>
      </fill>
    </dxf>
    <dxf>
      <fill>
        <patternFill>
          <bgColor rgb="FF66FFFF"/>
        </patternFill>
      </fill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right" vertical="bottom" textRotation="0" wrapText="0" indent="0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</dxfs>
  <tableStyles count="1" defaultTableStyle="TableStyleMedium2" defaultPivotStyle="PivotStyleLight16">
    <tableStyle name="TableStyleLight8 2" pivot="0" count="9" xr9:uid="{00000000-0011-0000-FFFF-FFFF00000000}">
      <tableStyleElement type="wholeTable" dxfId="90"/>
      <tableStyleElement type="headerRow" dxfId="89"/>
      <tableStyleElement type="totalRow" dxfId="88"/>
      <tableStyleElement type="firstColumn" dxfId="87"/>
      <tableStyleElement type="lastColumn" dxfId="86"/>
      <tableStyleElement type="firstRowStripe" dxfId="85"/>
      <tableStyleElement type="secondRowStripe" dxfId="84"/>
      <tableStyleElement type="firstColumnStripe" dxfId="83"/>
      <tableStyleElement type="secondColumnStripe" dxfId="82"/>
    </tableStyle>
  </tableStyles>
  <colors>
    <mruColors>
      <color rgb="FFFF99FF"/>
      <color rgb="FFFFE1FF"/>
      <color rgb="FF66FF33"/>
      <color rgb="FFFF3399"/>
      <color rgb="FFFF0000"/>
      <color rgb="FFFF66FF"/>
      <color rgb="FFFF6699"/>
      <color rgb="FFFFFFFF"/>
      <color rgb="FF99FF66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G8:J19" totalsRowShown="0" headerRowDxfId="81" headerRowCellStyle="Normal 2">
  <sortState xmlns:xlrd2="http://schemas.microsoft.com/office/spreadsheetml/2017/richdata2" ref="G12:J21">
    <sortCondition ref="H12:H21"/>
  </sortState>
  <tableColumns count="4">
    <tableColumn id="1" xr3:uid="{00000000-0010-0000-0000-000001000000}" name="DETALLE" dataCellStyle="Normal 2"/>
    <tableColumn id="2" xr3:uid="{00000000-0010-0000-0000-000002000000}" name="VR UNIT" dataCellStyle="Normal 2"/>
    <tableColumn id="3" xr3:uid="{00000000-0010-0000-0000-000003000000}" name="Vr BARRA" dataDxfId="80" dataCellStyle="Normal 2"/>
    <tableColumn id="4" xr3:uid="{00000000-0010-0000-0000-000004000000}" name="PERSONAL" dataDxfId="79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1816"/>
  <sheetViews>
    <sheetView zoomScale="69" zoomScaleNormal="69" workbookViewId="0">
      <pane ySplit="1" topLeftCell="A2" activePane="bottomLeft" state="frozen"/>
      <selection activeCell="D1" sqref="D1"/>
      <selection pane="bottomLeft" activeCell="C626" sqref="C626"/>
    </sheetView>
  </sheetViews>
  <sheetFormatPr baseColWidth="10" defaultRowHeight="21" x14ac:dyDescent="0.35"/>
  <cols>
    <col min="1" max="1" width="33.28515625" style="18" customWidth="1"/>
    <col min="2" max="2" width="40.85546875" style="18" customWidth="1"/>
    <col min="3" max="3" width="11.5703125" style="19" bestFit="1" customWidth="1"/>
    <col min="4" max="4" width="26.5703125" style="18" customWidth="1"/>
    <col min="5" max="5" width="77.42578125" style="18" customWidth="1"/>
    <col min="6" max="6" width="32.28515625" style="19" customWidth="1"/>
    <col min="7" max="7" width="12" style="19" customWidth="1"/>
    <col min="8" max="8" width="15.140625" style="100" customWidth="1"/>
    <col min="9" max="9" width="14.42578125" style="17" customWidth="1"/>
    <col min="10" max="10" width="16.85546875" style="17" customWidth="1"/>
    <col min="11" max="11" width="15.42578125" style="17" customWidth="1"/>
    <col min="12" max="12" width="18.28515625" style="17" customWidth="1"/>
    <col min="13" max="13" width="14.42578125" style="17" customWidth="1"/>
    <col min="14" max="14" width="18" style="17" customWidth="1"/>
    <col min="15" max="15" width="11.42578125" style="17"/>
    <col min="16" max="16" width="15.140625" style="17" customWidth="1"/>
    <col min="17" max="17" width="11.42578125" style="17"/>
    <col min="18" max="18" width="12.7109375" style="17" customWidth="1"/>
    <col min="19" max="19" width="16.140625" style="17" customWidth="1"/>
    <col min="20" max="20" width="11.42578125" style="17"/>
  </cols>
  <sheetData>
    <row r="1" spans="1:28" s="18" customFormat="1" ht="57" customHeight="1" x14ac:dyDescent="0.35">
      <c r="A1" s="65" t="s">
        <v>0</v>
      </c>
      <c r="B1" s="65" t="s">
        <v>1</v>
      </c>
      <c r="C1" s="66" t="s">
        <v>2</v>
      </c>
      <c r="D1" s="65" t="s">
        <v>3</v>
      </c>
      <c r="E1" s="65" t="s">
        <v>4</v>
      </c>
      <c r="F1" s="66" t="s">
        <v>86</v>
      </c>
      <c r="G1" s="66" t="s">
        <v>5</v>
      </c>
      <c r="H1" s="101" t="s">
        <v>6</v>
      </c>
      <c r="I1" s="69" t="s">
        <v>430</v>
      </c>
      <c r="J1" s="69" t="s">
        <v>431</v>
      </c>
      <c r="K1" s="69" t="s">
        <v>10</v>
      </c>
      <c r="L1" s="69" t="s">
        <v>432</v>
      </c>
      <c r="M1" s="69" t="s">
        <v>433</v>
      </c>
      <c r="N1" s="69" t="s">
        <v>434</v>
      </c>
      <c r="O1" s="69" t="s">
        <v>435</v>
      </c>
      <c r="P1" s="102" t="s">
        <v>436</v>
      </c>
      <c r="Q1" s="73" t="s">
        <v>437</v>
      </c>
      <c r="R1" s="73" t="s">
        <v>9</v>
      </c>
      <c r="S1" s="73" t="s">
        <v>140</v>
      </c>
      <c r="T1" s="73" t="s">
        <v>8</v>
      </c>
      <c r="U1" s="68"/>
      <c r="V1" s="66"/>
      <c r="W1" s="66"/>
      <c r="X1" s="67"/>
      <c r="Y1" s="65"/>
      <c r="Z1" s="65"/>
      <c r="AA1" s="66"/>
      <c r="AB1" s="65"/>
    </row>
    <row r="2" spans="1:28" x14ac:dyDescent="0.35">
      <c r="A2" s="21" t="s">
        <v>164</v>
      </c>
      <c r="B2" s="21" t="s">
        <v>165</v>
      </c>
      <c r="C2" s="16">
        <v>4517</v>
      </c>
      <c r="D2" s="21" t="s">
        <v>166</v>
      </c>
      <c r="E2" s="21" t="s">
        <v>167</v>
      </c>
      <c r="F2" s="17" t="s">
        <v>169</v>
      </c>
      <c r="G2" s="17">
        <v>1</v>
      </c>
      <c r="H2" s="93" t="s">
        <v>168</v>
      </c>
    </row>
    <row r="3" spans="1:28" x14ac:dyDescent="0.35">
      <c r="A3" s="21"/>
      <c r="B3" s="21"/>
      <c r="C3" s="17"/>
      <c r="D3" s="21"/>
      <c r="E3" s="21"/>
      <c r="F3" s="57" t="s">
        <v>285</v>
      </c>
      <c r="G3" s="17"/>
      <c r="H3" s="93"/>
    </row>
    <row r="4" spans="1:28" x14ac:dyDescent="0.35">
      <c r="A4" s="21"/>
      <c r="B4" s="21"/>
      <c r="C4" s="17"/>
      <c r="D4" s="21"/>
      <c r="E4" s="71"/>
      <c r="F4" s="17"/>
      <c r="G4" s="72"/>
      <c r="H4" s="93"/>
    </row>
    <row r="5" spans="1:28" s="76" customFormat="1" ht="21.75" thickBot="1" x14ac:dyDescent="0.4">
      <c r="A5" s="48"/>
      <c r="B5" s="48"/>
      <c r="C5" s="49"/>
      <c r="D5" s="48"/>
      <c r="E5" s="48"/>
      <c r="F5" s="49"/>
      <c r="G5" s="49"/>
      <c r="H5" s="94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</row>
    <row r="6" spans="1:28" x14ac:dyDescent="0.35">
      <c r="A6" s="46" t="s">
        <v>136</v>
      </c>
      <c r="B6" s="46" t="s">
        <v>255</v>
      </c>
      <c r="C6" s="51">
        <v>4737</v>
      </c>
      <c r="D6" s="46" t="s">
        <v>253</v>
      </c>
      <c r="E6" s="46" t="s">
        <v>254</v>
      </c>
      <c r="F6" s="46"/>
      <c r="G6" s="47">
        <v>2</v>
      </c>
      <c r="H6" s="95">
        <v>46062</v>
      </c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</row>
    <row r="7" spans="1:28" x14ac:dyDescent="0.35">
      <c r="A7" s="21"/>
      <c r="B7" s="21"/>
      <c r="C7" s="17"/>
      <c r="D7" s="21" t="s">
        <v>221</v>
      </c>
      <c r="E7" s="21" t="s">
        <v>222</v>
      </c>
      <c r="F7" s="57" t="s">
        <v>264</v>
      </c>
      <c r="G7" s="17">
        <v>2</v>
      </c>
      <c r="H7" s="93"/>
    </row>
    <row r="8" spans="1:28" x14ac:dyDescent="0.35">
      <c r="A8" s="21"/>
      <c r="B8" s="21"/>
      <c r="C8" s="17"/>
      <c r="D8" s="21" t="s">
        <v>77</v>
      </c>
      <c r="E8" s="21" t="s">
        <v>20</v>
      </c>
      <c r="F8" s="21"/>
      <c r="G8" s="17">
        <v>2</v>
      </c>
      <c r="H8" s="93"/>
    </row>
    <row r="9" spans="1:28" s="76" customFormat="1" ht="21.75" thickBot="1" x14ac:dyDescent="0.4">
      <c r="A9" s="48"/>
      <c r="B9" s="48"/>
      <c r="C9" s="49"/>
      <c r="D9" s="48"/>
      <c r="E9" s="48" t="s">
        <v>150</v>
      </c>
      <c r="F9" s="49"/>
      <c r="G9" s="49"/>
      <c r="H9" s="94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</row>
    <row r="10" spans="1:28" x14ac:dyDescent="0.35">
      <c r="A10" s="46" t="s">
        <v>258</v>
      </c>
      <c r="B10" s="46" t="s">
        <v>259</v>
      </c>
      <c r="C10" s="51">
        <v>4745</v>
      </c>
      <c r="D10" s="46" t="s">
        <v>76</v>
      </c>
      <c r="F10" s="47" t="s">
        <v>241</v>
      </c>
      <c r="G10" s="47">
        <v>4</v>
      </c>
      <c r="H10" s="95">
        <v>46064</v>
      </c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</row>
    <row r="11" spans="1:28" x14ac:dyDescent="0.35">
      <c r="A11" s="21"/>
      <c r="B11" s="21"/>
      <c r="C11" s="17"/>
      <c r="D11" s="21" t="s">
        <v>77</v>
      </c>
      <c r="E11" s="21" t="s">
        <v>20</v>
      </c>
      <c r="F11" s="57" t="s">
        <v>285</v>
      </c>
      <c r="G11" s="17">
        <v>4</v>
      </c>
      <c r="H11" s="93"/>
    </row>
    <row r="12" spans="1:28" s="76" customFormat="1" ht="21.75" thickBot="1" x14ac:dyDescent="0.4">
      <c r="A12" s="48"/>
      <c r="B12" s="48"/>
      <c r="C12" s="49"/>
      <c r="D12" s="48"/>
      <c r="E12" s="48"/>
      <c r="F12" s="49"/>
      <c r="G12" s="49"/>
      <c r="H12" s="94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</row>
    <row r="13" spans="1:28" x14ac:dyDescent="0.35">
      <c r="A13" s="46" t="s">
        <v>136</v>
      </c>
      <c r="B13" s="103" t="s">
        <v>223</v>
      </c>
      <c r="C13" s="53">
        <v>4749</v>
      </c>
      <c r="D13" s="46" t="s">
        <v>146</v>
      </c>
      <c r="E13" s="46" t="s">
        <v>214</v>
      </c>
      <c r="F13" s="47" t="s">
        <v>260</v>
      </c>
      <c r="G13" s="47">
        <v>1</v>
      </c>
      <c r="H13" s="95">
        <v>46066</v>
      </c>
      <c r="I13" s="47">
        <v>0.25</v>
      </c>
      <c r="J13" s="47">
        <v>0.25</v>
      </c>
      <c r="K13" s="47"/>
      <c r="L13" s="47"/>
      <c r="M13" s="47"/>
      <c r="N13" s="47"/>
      <c r="O13" s="47"/>
      <c r="P13" s="47"/>
      <c r="Q13" s="47"/>
      <c r="R13" s="47"/>
      <c r="S13" s="47"/>
      <c r="T13" s="47"/>
    </row>
    <row r="14" spans="1:28" x14ac:dyDescent="0.35">
      <c r="A14" s="21"/>
      <c r="B14" s="21"/>
      <c r="C14" s="17"/>
      <c r="D14" s="21" t="s">
        <v>236</v>
      </c>
      <c r="E14" s="21" t="s">
        <v>237</v>
      </c>
      <c r="F14" s="21"/>
      <c r="G14" s="17">
        <v>1</v>
      </c>
      <c r="H14" s="93"/>
      <c r="I14" s="17">
        <v>0.5</v>
      </c>
      <c r="J14" s="17">
        <v>0.5</v>
      </c>
    </row>
    <row r="15" spans="1:28" x14ac:dyDescent="0.35">
      <c r="A15" s="21"/>
      <c r="B15" s="21"/>
      <c r="C15" s="17"/>
      <c r="D15" s="21" t="s">
        <v>227</v>
      </c>
      <c r="E15" s="21" t="s">
        <v>228</v>
      </c>
      <c r="F15" s="21"/>
      <c r="G15" s="17">
        <v>1</v>
      </c>
      <c r="H15" s="93"/>
      <c r="I15" s="17">
        <v>0.5</v>
      </c>
      <c r="J15" s="17">
        <v>0.5</v>
      </c>
    </row>
    <row r="16" spans="1:28" x14ac:dyDescent="0.35">
      <c r="A16" s="21"/>
      <c r="B16" s="21"/>
      <c r="C16" s="17"/>
      <c r="D16" s="21" t="s">
        <v>75</v>
      </c>
      <c r="E16" s="21" t="s">
        <v>55</v>
      </c>
      <c r="F16" s="21"/>
      <c r="G16" s="17">
        <v>1</v>
      </c>
      <c r="H16" s="93"/>
      <c r="I16" s="17">
        <v>2</v>
      </c>
      <c r="J16" s="17">
        <v>0.5</v>
      </c>
    </row>
    <row r="17" spans="1:20" x14ac:dyDescent="0.35">
      <c r="A17" s="21"/>
      <c r="B17" s="21"/>
      <c r="C17" s="17"/>
      <c r="D17" s="55" t="s">
        <v>176</v>
      </c>
      <c r="E17" s="21" t="s">
        <v>177</v>
      </c>
      <c r="F17" s="21"/>
      <c r="G17" s="17">
        <v>24</v>
      </c>
      <c r="H17" s="93"/>
    </row>
    <row r="18" spans="1:20" s="76" customFormat="1" ht="21.75" thickBot="1" x14ac:dyDescent="0.4">
      <c r="A18" s="48"/>
      <c r="B18" s="48"/>
      <c r="C18" s="49"/>
      <c r="D18" s="48"/>
      <c r="E18" s="48"/>
      <c r="F18" s="49"/>
      <c r="G18" s="49"/>
      <c r="H18" s="94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</row>
    <row r="19" spans="1:20" x14ac:dyDescent="0.35">
      <c r="A19" s="46" t="s">
        <v>267</v>
      </c>
      <c r="B19" s="46" t="s">
        <v>220</v>
      </c>
      <c r="C19" s="51">
        <v>4771</v>
      </c>
      <c r="D19" s="46" t="s">
        <v>268</v>
      </c>
      <c r="E19" s="46" t="s">
        <v>269</v>
      </c>
      <c r="F19" s="46"/>
      <c r="G19" s="47">
        <v>10</v>
      </c>
      <c r="H19" s="95">
        <v>46080</v>
      </c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</row>
    <row r="20" spans="1:20" x14ac:dyDescent="0.35">
      <c r="A20" s="21"/>
      <c r="B20" s="21"/>
      <c r="C20" s="17"/>
      <c r="D20" s="21" t="s">
        <v>250</v>
      </c>
      <c r="E20" s="21" t="s">
        <v>251</v>
      </c>
      <c r="F20" s="23" t="s">
        <v>281</v>
      </c>
      <c r="G20" s="17">
        <v>10</v>
      </c>
      <c r="H20" s="93"/>
    </row>
    <row r="21" spans="1:20" s="76" customFormat="1" ht="21.75" thickBot="1" x14ac:dyDescent="0.4">
      <c r="A21" s="48"/>
      <c r="B21" s="48"/>
      <c r="C21" s="49"/>
      <c r="D21" s="48"/>
      <c r="E21" s="48"/>
      <c r="F21" s="63"/>
      <c r="G21" s="49"/>
      <c r="H21" s="94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</row>
    <row r="22" spans="1:20" x14ac:dyDescent="0.35">
      <c r="A22" s="46" t="s">
        <v>173</v>
      </c>
      <c r="B22" s="46" t="s">
        <v>302</v>
      </c>
      <c r="C22" s="51">
        <v>4808</v>
      </c>
      <c r="D22" s="46" t="s">
        <v>77</v>
      </c>
      <c r="E22" s="46" t="s">
        <v>20</v>
      </c>
      <c r="F22" s="47"/>
      <c r="G22" s="47">
        <v>5</v>
      </c>
      <c r="H22" s="95">
        <v>46094</v>
      </c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</row>
    <row r="23" spans="1:20" ht="21.75" thickBot="1" x14ac:dyDescent="0.4">
      <c r="A23" s="21"/>
      <c r="B23" s="21"/>
      <c r="C23" s="17"/>
      <c r="D23" s="21"/>
      <c r="E23" s="21"/>
      <c r="F23" s="58" t="s">
        <v>595</v>
      </c>
      <c r="G23" s="17"/>
      <c r="H23" s="93"/>
    </row>
    <row r="24" spans="1:20" s="76" customFormat="1" ht="21.75" thickBot="1" x14ac:dyDescent="0.4">
      <c r="A24" s="48"/>
      <c r="B24" s="48"/>
      <c r="C24" s="49"/>
      <c r="D24" s="48"/>
      <c r="E24" s="48"/>
      <c r="F24" s="49"/>
      <c r="G24" s="49"/>
      <c r="H24" s="94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</row>
    <row r="25" spans="1:20" x14ac:dyDescent="0.35">
      <c r="A25" s="46" t="s">
        <v>74</v>
      </c>
      <c r="B25" s="46" t="s">
        <v>226</v>
      </c>
      <c r="C25" s="47">
        <v>4848</v>
      </c>
      <c r="D25" s="46" t="s">
        <v>76</v>
      </c>
      <c r="E25" s="46" t="s">
        <v>150</v>
      </c>
      <c r="F25" s="47" t="s">
        <v>347</v>
      </c>
      <c r="G25" s="47">
        <v>2</v>
      </c>
      <c r="H25" s="95">
        <v>46111</v>
      </c>
      <c r="I25" s="47"/>
      <c r="J25" s="47"/>
      <c r="K25" s="47"/>
      <c r="L25" s="47"/>
      <c r="M25" s="47">
        <v>1</v>
      </c>
      <c r="N25" s="47"/>
      <c r="O25" s="47"/>
      <c r="P25" s="47"/>
      <c r="Q25" s="47"/>
      <c r="R25" s="47"/>
      <c r="S25" s="47"/>
      <c r="T25" s="47"/>
    </row>
    <row r="26" spans="1:20" x14ac:dyDescent="0.35">
      <c r="A26" s="21"/>
      <c r="B26" s="21"/>
      <c r="C26" s="17"/>
      <c r="D26" s="21" t="s">
        <v>103</v>
      </c>
      <c r="E26" s="21" t="s">
        <v>70</v>
      </c>
      <c r="F26" s="21"/>
      <c r="G26" s="17">
        <v>2</v>
      </c>
      <c r="H26" s="93"/>
      <c r="M26" s="17">
        <v>2</v>
      </c>
    </row>
    <row r="27" spans="1:20" x14ac:dyDescent="0.35">
      <c r="A27" s="21"/>
      <c r="B27" s="21"/>
      <c r="C27" s="17"/>
      <c r="D27" s="21" t="s">
        <v>77</v>
      </c>
      <c r="E27" s="21" t="s">
        <v>20</v>
      </c>
      <c r="F27" s="21"/>
      <c r="G27" s="17">
        <v>2</v>
      </c>
      <c r="H27" s="93"/>
    </row>
    <row r="28" spans="1:20" x14ac:dyDescent="0.35">
      <c r="A28" s="21"/>
      <c r="B28" s="21"/>
      <c r="C28" s="17"/>
      <c r="D28" s="21" t="s">
        <v>92</v>
      </c>
      <c r="E28" s="21" t="s">
        <v>51</v>
      </c>
      <c r="F28" s="21"/>
      <c r="G28" s="17">
        <v>2</v>
      </c>
      <c r="H28" s="93"/>
    </row>
    <row r="29" spans="1:20" x14ac:dyDescent="0.35">
      <c r="A29" s="21"/>
      <c r="B29" s="21"/>
      <c r="C29" s="17"/>
      <c r="D29" s="21" t="s">
        <v>78</v>
      </c>
      <c r="E29" s="21" t="s">
        <v>16</v>
      </c>
      <c r="F29" s="21"/>
      <c r="G29" s="17">
        <v>2</v>
      </c>
      <c r="H29" s="93"/>
    </row>
    <row r="30" spans="1:20" x14ac:dyDescent="0.35">
      <c r="A30" s="21"/>
      <c r="B30" s="21"/>
      <c r="C30" s="17"/>
      <c r="D30" s="21" t="s">
        <v>83</v>
      </c>
      <c r="E30" s="21" t="s">
        <v>12</v>
      </c>
      <c r="F30" s="21"/>
      <c r="G30" s="17">
        <v>2</v>
      </c>
      <c r="H30" s="93"/>
    </row>
    <row r="31" spans="1:20" x14ac:dyDescent="0.35">
      <c r="A31" s="21"/>
      <c r="B31" s="21"/>
      <c r="C31" s="17"/>
      <c r="D31" s="21" t="s">
        <v>84</v>
      </c>
      <c r="E31" s="21" t="s">
        <v>13</v>
      </c>
      <c r="F31" s="21"/>
      <c r="G31" s="17">
        <v>2</v>
      </c>
      <c r="H31" s="93"/>
    </row>
    <row r="32" spans="1:20" x14ac:dyDescent="0.35">
      <c r="A32" s="21"/>
      <c r="B32" s="21"/>
      <c r="C32" s="17"/>
      <c r="D32" s="21" t="s">
        <v>340</v>
      </c>
      <c r="E32" s="21" t="s">
        <v>341</v>
      </c>
      <c r="F32" s="21"/>
      <c r="G32" s="17">
        <v>2</v>
      </c>
      <c r="H32" s="93"/>
    </row>
    <row r="33" spans="1:12" x14ac:dyDescent="0.35">
      <c r="A33" s="21"/>
      <c r="B33" s="21"/>
      <c r="C33" s="17"/>
      <c r="D33" s="21" t="s">
        <v>227</v>
      </c>
      <c r="E33" s="21" t="s">
        <v>228</v>
      </c>
      <c r="F33" s="21"/>
      <c r="G33" s="17">
        <v>2</v>
      </c>
      <c r="H33" s="93"/>
      <c r="J33" s="17">
        <v>2</v>
      </c>
    </row>
    <row r="34" spans="1:12" x14ac:dyDescent="0.35">
      <c r="A34" s="21"/>
      <c r="B34" s="21"/>
      <c r="C34" s="17"/>
      <c r="D34" s="21" t="s">
        <v>123</v>
      </c>
      <c r="E34" s="21" t="s">
        <v>329</v>
      </c>
      <c r="F34" s="21"/>
      <c r="G34" s="17">
        <v>2</v>
      </c>
      <c r="H34" s="93"/>
      <c r="J34" s="17">
        <v>2</v>
      </c>
    </row>
    <row r="35" spans="1:12" x14ac:dyDescent="0.35">
      <c r="A35" s="21"/>
      <c r="B35" s="21"/>
      <c r="C35" s="17"/>
      <c r="D35" s="21" t="s">
        <v>246</v>
      </c>
      <c r="E35" s="21" t="s">
        <v>330</v>
      </c>
      <c r="F35" s="21"/>
      <c r="G35" s="17">
        <v>2</v>
      </c>
      <c r="H35" s="93"/>
      <c r="J35" s="17">
        <v>2</v>
      </c>
    </row>
    <row r="36" spans="1:12" x14ac:dyDescent="0.35">
      <c r="A36" s="21"/>
      <c r="B36" s="21"/>
      <c r="C36" s="17"/>
      <c r="D36" s="21" t="s">
        <v>79</v>
      </c>
      <c r="E36" s="21" t="s">
        <v>73</v>
      </c>
      <c r="F36" s="21"/>
      <c r="G36" s="17">
        <v>2</v>
      </c>
      <c r="H36" s="93"/>
      <c r="J36" s="17">
        <v>2</v>
      </c>
    </row>
    <row r="37" spans="1:12" x14ac:dyDescent="0.35">
      <c r="A37" s="21"/>
      <c r="B37" s="21"/>
      <c r="C37" s="17"/>
      <c r="D37" s="21" t="s">
        <v>75</v>
      </c>
      <c r="E37" s="21" t="s">
        <v>331</v>
      </c>
      <c r="F37" s="21"/>
      <c r="G37" s="17">
        <v>2</v>
      </c>
      <c r="H37" s="93"/>
      <c r="J37" s="17">
        <v>2</v>
      </c>
    </row>
    <row r="38" spans="1:12" x14ac:dyDescent="0.35">
      <c r="A38" s="21"/>
      <c r="B38" s="21"/>
      <c r="C38" s="17"/>
      <c r="D38" s="21" t="s">
        <v>224</v>
      </c>
      <c r="E38" s="21" t="s">
        <v>153</v>
      </c>
      <c r="F38" s="21"/>
      <c r="G38" s="17">
        <v>2</v>
      </c>
      <c r="H38" s="93"/>
      <c r="J38" s="17">
        <v>2</v>
      </c>
    </row>
    <row r="39" spans="1:12" x14ac:dyDescent="0.35">
      <c r="A39" s="21"/>
      <c r="B39" s="21"/>
      <c r="C39" s="17"/>
      <c r="D39" s="21" t="s">
        <v>342</v>
      </c>
      <c r="E39" s="21" t="s">
        <v>343</v>
      </c>
      <c r="F39" s="21"/>
      <c r="G39" s="17">
        <v>2</v>
      </c>
      <c r="H39" s="93"/>
      <c r="L39" s="17">
        <v>2</v>
      </c>
    </row>
    <row r="40" spans="1:12" x14ac:dyDescent="0.35">
      <c r="A40" s="21"/>
      <c r="B40" s="21"/>
      <c r="C40" s="17"/>
      <c r="D40" s="21" t="s">
        <v>334</v>
      </c>
      <c r="E40" s="21" t="s">
        <v>335</v>
      </c>
      <c r="F40" s="21"/>
      <c r="G40" s="17">
        <v>2</v>
      </c>
      <c r="H40" s="93"/>
    </row>
    <row r="41" spans="1:12" x14ac:dyDescent="0.35">
      <c r="A41" s="21"/>
      <c r="B41" s="21"/>
      <c r="C41" s="17"/>
      <c r="D41" s="21" t="s">
        <v>332</v>
      </c>
      <c r="E41" s="21" t="s">
        <v>333</v>
      </c>
      <c r="F41" s="21"/>
      <c r="G41" s="17">
        <v>2</v>
      </c>
      <c r="H41" s="93"/>
    </row>
    <row r="42" spans="1:12" x14ac:dyDescent="0.35">
      <c r="A42" s="21"/>
      <c r="B42" s="21"/>
      <c r="C42" s="17"/>
      <c r="D42" s="21" t="s">
        <v>273</v>
      </c>
      <c r="E42" s="21" t="s">
        <v>274</v>
      </c>
      <c r="F42" s="21"/>
      <c r="G42" s="17">
        <v>2</v>
      </c>
      <c r="H42" s="93"/>
    </row>
    <row r="43" spans="1:12" x14ac:dyDescent="0.35">
      <c r="A43" s="21"/>
      <c r="B43" s="21"/>
      <c r="C43" s="17"/>
      <c r="D43" s="21" t="s">
        <v>336</v>
      </c>
      <c r="E43" s="21" t="s">
        <v>337</v>
      </c>
      <c r="F43" s="21"/>
      <c r="G43" s="17">
        <v>2</v>
      </c>
      <c r="H43" s="93"/>
    </row>
    <row r="44" spans="1:12" x14ac:dyDescent="0.35">
      <c r="A44" s="21"/>
      <c r="B44" s="21"/>
      <c r="C44" s="17"/>
      <c r="D44" s="21" t="s">
        <v>108</v>
      </c>
      <c r="E44" s="21" t="s">
        <v>344</v>
      </c>
      <c r="F44" s="21"/>
      <c r="G44" s="17">
        <v>2</v>
      </c>
      <c r="H44" s="93"/>
      <c r="J44" s="17">
        <v>2</v>
      </c>
    </row>
    <row r="45" spans="1:12" x14ac:dyDescent="0.35">
      <c r="A45" s="21"/>
      <c r="B45" s="21"/>
      <c r="C45" s="17"/>
      <c r="D45" s="21" t="s">
        <v>278</v>
      </c>
      <c r="E45" s="21" t="s">
        <v>279</v>
      </c>
      <c r="F45" s="21"/>
      <c r="G45" s="17">
        <v>48</v>
      </c>
      <c r="H45" s="93"/>
    </row>
    <row r="46" spans="1:12" x14ac:dyDescent="0.35">
      <c r="A46" s="21"/>
      <c r="B46" s="21"/>
      <c r="C46" s="17"/>
      <c r="D46" s="21" t="s">
        <v>345</v>
      </c>
      <c r="E46" s="21" t="s">
        <v>346</v>
      </c>
      <c r="F46" s="21"/>
      <c r="G46" s="17">
        <v>8</v>
      </c>
      <c r="H46" s="93"/>
    </row>
    <row r="47" spans="1:12" x14ac:dyDescent="0.35">
      <c r="A47" s="21"/>
      <c r="B47" s="21"/>
      <c r="C47" s="17"/>
      <c r="D47" s="21" t="s">
        <v>322</v>
      </c>
      <c r="E47" s="21" t="s">
        <v>323</v>
      </c>
      <c r="F47" s="21"/>
      <c r="G47" s="17">
        <v>4</v>
      </c>
      <c r="H47" s="93"/>
    </row>
    <row r="48" spans="1:12" x14ac:dyDescent="0.35">
      <c r="A48" s="21"/>
      <c r="B48" s="21"/>
      <c r="C48" s="17"/>
      <c r="D48" s="21" t="s">
        <v>307</v>
      </c>
      <c r="E48" s="21" t="s">
        <v>308</v>
      </c>
      <c r="F48" s="21"/>
      <c r="G48" s="17">
        <v>6</v>
      </c>
      <c r="H48" s="93"/>
    </row>
    <row r="49" spans="1:20" x14ac:dyDescent="0.35">
      <c r="A49" s="21"/>
      <c r="B49" s="21"/>
      <c r="C49" s="17"/>
      <c r="D49" s="21" t="s">
        <v>116</v>
      </c>
      <c r="E49" s="21" t="s">
        <v>122</v>
      </c>
      <c r="F49" s="21"/>
      <c r="G49" s="17">
        <v>2</v>
      </c>
      <c r="H49" s="93"/>
    </row>
    <row r="50" spans="1:20" x14ac:dyDescent="0.35">
      <c r="A50" s="21"/>
      <c r="B50" s="21"/>
      <c r="C50" s="17"/>
      <c r="D50" s="21" t="s">
        <v>324</v>
      </c>
      <c r="E50" s="21" t="s">
        <v>325</v>
      </c>
      <c r="F50" s="21"/>
      <c r="G50" s="17">
        <v>4</v>
      </c>
      <c r="H50" s="93"/>
    </row>
    <row r="51" spans="1:20" x14ac:dyDescent="0.35">
      <c r="A51" s="21"/>
      <c r="B51" s="21"/>
      <c r="C51" s="17"/>
      <c r="D51" s="21" t="s">
        <v>95</v>
      </c>
      <c r="E51" s="21" t="s">
        <v>71</v>
      </c>
      <c r="F51" s="21"/>
      <c r="G51" s="17">
        <v>2</v>
      </c>
      <c r="H51" s="93"/>
    </row>
    <row r="52" spans="1:20" x14ac:dyDescent="0.35">
      <c r="A52" s="21"/>
      <c r="B52" s="21"/>
      <c r="C52" s="17"/>
      <c r="D52" s="21" t="s">
        <v>112</v>
      </c>
      <c r="E52" s="21" t="s">
        <v>118</v>
      </c>
      <c r="F52" s="21"/>
      <c r="G52" s="17">
        <v>4</v>
      </c>
      <c r="H52" s="93"/>
    </row>
    <row r="53" spans="1:20" x14ac:dyDescent="0.35">
      <c r="A53" s="21"/>
      <c r="B53" s="21"/>
      <c r="C53" s="17"/>
      <c r="D53" s="21" t="s">
        <v>338</v>
      </c>
      <c r="E53" s="21" t="s">
        <v>339</v>
      </c>
      <c r="F53" s="21"/>
      <c r="G53" s="17">
        <v>2</v>
      </c>
      <c r="H53" s="93"/>
    </row>
    <row r="54" spans="1:20" s="76" customFormat="1" ht="21.75" thickBot="1" x14ac:dyDescent="0.4">
      <c r="A54" s="48"/>
      <c r="B54" s="48"/>
      <c r="C54" s="49"/>
      <c r="D54" s="48"/>
      <c r="E54" s="48"/>
      <c r="F54" s="49"/>
      <c r="G54" s="49"/>
      <c r="H54" s="94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</row>
    <row r="55" spans="1:20" x14ac:dyDescent="0.35">
      <c r="A55" s="46" t="s">
        <v>357</v>
      </c>
      <c r="B55" s="46" t="s">
        <v>220</v>
      </c>
      <c r="C55" s="53">
        <v>4855</v>
      </c>
      <c r="D55" s="46" t="s">
        <v>76</v>
      </c>
      <c r="E55" s="46" t="s">
        <v>150</v>
      </c>
      <c r="F55" s="47" t="s">
        <v>360</v>
      </c>
      <c r="G55" s="47">
        <v>2</v>
      </c>
      <c r="H55" s="95">
        <v>46114</v>
      </c>
      <c r="I55" s="47"/>
      <c r="J55" s="47">
        <v>0.5</v>
      </c>
      <c r="K55" s="47"/>
      <c r="L55" s="47">
        <v>0.5</v>
      </c>
      <c r="M55" s="47"/>
      <c r="N55" s="47"/>
      <c r="O55" s="47"/>
      <c r="P55" s="47"/>
      <c r="Q55" s="47"/>
      <c r="R55" s="47"/>
      <c r="S55" s="47"/>
      <c r="T55" s="47"/>
    </row>
    <row r="56" spans="1:20" x14ac:dyDescent="0.35">
      <c r="A56" s="21"/>
      <c r="B56" s="21"/>
      <c r="C56" s="17"/>
      <c r="D56" s="21" t="s">
        <v>348</v>
      </c>
      <c r="E56" s="21" t="s">
        <v>349</v>
      </c>
      <c r="F56" s="21"/>
      <c r="G56" s="17">
        <v>2</v>
      </c>
      <c r="H56" s="93"/>
      <c r="J56" s="17">
        <v>1</v>
      </c>
      <c r="L56" s="17">
        <v>1</v>
      </c>
    </row>
    <row r="57" spans="1:20" x14ac:dyDescent="0.35">
      <c r="A57" s="21"/>
      <c r="B57" s="21"/>
      <c r="C57" s="17"/>
      <c r="D57" s="21" t="s">
        <v>77</v>
      </c>
      <c r="E57" s="21" t="s">
        <v>20</v>
      </c>
      <c r="F57" s="21"/>
      <c r="G57" s="17">
        <v>2</v>
      </c>
      <c r="H57" s="93"/>
    </row>
    <row r="58" spans="1:20" x14ac:dyDescent="0.35">
      <c r="A58" s="21"/>
      <c r="B58" s="21"/>
      <c r="C58" s="17"/>
      <c r="D58" s="21" t="s">
        <v>93</v>
      </c>
      <c r="E58" s="21" t="s">
        <v>14</v>
      </c>
      <c r="F58" s="21"/>
      <c r="G58" s="17">
        <v>2</v>
      </c>
      <c r="H58" s="93"/>
      <c r="J58" s="17">
        <v>1</v>
      </c>
      <c r="L58" s="17">
        <v>1</v>
      </c>
    </row>
    <row r="59" spans="1:20" x14ac:dyDescent="0.35">
      <c r="A59" s="21"/>
      <c r="B59" s="21"/>
      <c r="C59" s="17"/>
      <c r="D59" s="21" t="s">
        <v>100</v>
      </c>
      <c r="E59" s="21" t="s">
        <v>50</v>
      </c>
      <c r="F59" s="21"/>
      <c r="G59" s="17">
        <v>2</v>
      </c>
      <c r="H59" s="93"/>
    </row>
    <row r="60" spans="1:20" x14ac:dyDescent="0.35">
      <c r="A60" s="21"/>
      <c r="B60" s="21"/>
      <c r="C60" s="17"/>
      <c r="D60" s="21" t="s">
        <v>83</v>
      </c>
      <c r="E60" s="21" t="s">
        <v>12</v>
      </c>
      <c r="F60" s="21"/>
      <c r="G60" s="17">
        <v>2</v>
      </c>
      <c r="H60" s="93"/>
    </row>
    <row r="61" spans="1:20" x14ac:dyDescent="0.35">
      <c r="A61" s="21"/>
      <c r="B61" s="21"/>
      <c r="C61" s="17"/>
      <c r="D61" s="21" t="s">
        <v>78</v>
      </c>
      <c r="E61" s="21" t="s">
        <v>16</v>
      </c>
      <c r="F61" s="21"/>
      <c r="G61" s="17">
        <v>2</v>
      </c>
      <c r="H61" s="93"/>
    </row>
    <row r="62" spans="1:20" x14ac:dyDescent="0.35">
      <c r="A62" s="21"/>
      <c r="B62" s="21"/>
      <c r="C62" s="17"/>
      <c r="D62" s="21" t="s">
        <v>123</v>
      </c>
      <c r="E62" s="21" t="s">
        <v>25</v>
      </c>
      <c r="F62" s="21"/>
      <c r="G62" s="17">
        <v>2</v>
      </c>
      <c r="H62" s="93"/>
      <c r="J62" s="17">
        <v>1</v>
      </c>
      <c r="L62" s="17">
        <v>1</v>
      </c>
    </row>
    <row r="63" spans="1:20" x14ac:dyDescent="0.35">
      <c r="A63" s="21"/>
      <c r="B63" s="21"/>
      <c r="C63" s="17"/>
      <c r="D63" s="21" t="s">
        <v>85</v>
      </c>
      <c r="E63" s="21" t="s">
        <v>22</v>
      </c>
      <c r="F63" s="21"/>
      <c r="G63" s="17">
        <v>2</v>
      </c>
      <c r="H63" s="93"/>
      <c r="J63" s="17">
        <v>1</v>
      </c>
      <c r="L63" s="17">
        <v>1</v>
      </c>
    </row>
    <row r="64" spans="1:20" x14ac:dyDescent="0.35">
      <c r="A64" s="21"/>
      <c r="B64" s="21"/>
      <c r="C64" s="17"/>
      <c r="D64" s="21" t="s">
        <v>79</v>
      </c>
      <c r="E64" s="21" t="s">
        <v>73</v>
      </c>
      <c r="F64" s="21"/>
      <c r="G64" s="17">
        <v>2</v>
      </c>
      <c r="H64" s="93"/>
      <c r="J64" s="17">
        <v>1</v>
      </c>
      <c r="L64" s="17">
        <v>1</v>
      </c>
    </row>
    <row r="65" spans="1:20" x14ac:dyDescent="0.35">
      <c r="A65" s="21"/>
      <c r="B65" s="21"/>
      <c r="C65" s="17"/>
      <c r="D65" s="21" t="s">
        <v>75</v>
      </c>
      <c r="E65" s="21" t="s">
        <v>55</v>
      </c>
      <c r="F65" s="21"/>
      <c r="G65" s="17">
        <v>2</v>
      </c>
      <c r="H65" s="93"/>
      <c r="J65" s="17">
        <v>1</v>
      </c>
      <c r="L65" s="17">
        <v>1</v>
      </c>
    </row>
    <row r="66" spans="1:20" x14ac:dyDescent="0.35">
      <c r="A66" s="21"/>
      <c r="B66" s="21"/>
      <c r="C66" s="17"/>
      <c r="D66" s="21" t="s">
        <v>262</v>
      </c>
      <c r="E66" s="21" t="s">
        <v>263</v>
      </c>
      <c r="F66" s="21"/>
      <c r="G66" s="17">
        <v>2</v>
      </c>
      <c r="H66" s="93"/>
      <c r="J66" s="17">
        <v>1</v>
      </c>
      <c r="L66" s="17">
        <v>1</v>
      </c>
    </row>
    <row r="67" spans="1:20" x14ac:dyDescent="0.35">
      <c r="A67" s="21"/>
      <c r="B67" s="21"/>
      <c r="C67" s="17"/>
      <c r="D67" s="21" t="s">
        <v>94</v>
      </c>
      <c r="E67" s="21" t="s">
        <v>18</v>
      </c>
      <c r="F67" s="21"/>
      <c r="G67" s="17">
        <v>48</v>
      </c>
      <c r="H67" s="93"/>
    </row>
    <row r="68" spans="1:20" x14ac:dyDescent="0.35">
      <c r="A68" s="21"/>
      <c r="B68" s="21"/>
      <c r="C68" s="17"/>
      <c r="D68" s="21" t="s">
        <v>212</v>
      </c>
      <c r="E68" s="21" t="s">
        <v>213</v>
      </c>
      <c r="F68" s="21"/>
      <c r="G68" s="17">
        <v>2</v>
      </c>
      <c r="H68" s="93"/>
    </row>
    <row r="69" spans="1:20" x14ac:dyDescent="0.35">
      <c r="A69" s="21"/>
      <c r="B69" s="21"/>
      <c r="C69" s="17"/>
      <c r="D69" s="21" t="s">
        <v>127</v>
      </c>
      <c r="E69" s="21" t="s">
        <v>128</v>
      </c>
      <c r="F69" s="21"/>
      <c r="G69" s="17">
        <v>2</v>
      </c>
      <c r="H69" s="93"/>
    </row>
    <row r="70" spans="1:20" x14ac:dyDescent="0.35">
      <c r="A70" s="21"/>
      <c r="B70" s="21"/>
      <c r="C70" s="17"/>
      <c r="D70" s="21" t="s">
        <v>111</v>
      </c>
      <c r="E70" s="21" t="s">
        <v>117</v>
      </c>
      <c r="F70" s="21"/>
      <c r="G70" s="17">
        <v>2</v>
      </c>
      <c r="H70" s="93"/>
    </row>
    <row r="71" spans="1:20" x14ac:dyDescent="0.35">
      <c r="A71" s="21"/>
      <c r="B71" s="21"/>
      <c r="C71" s="17"/>
      <c r="D71" s="21" t="s">
        <v>210</v>
      </c>
      <c r="E71" s="21" t="s">
        <v>211</v>
      </c>
      <c r="F71" s="21"/>
      <c r="G71" s="17">
        <v>2</v>
      </c>
      <c r="H71" s="93"/>
    </row>
    <row r="72" spans="1:20" x14ac:dyDescent="0.35">
      <c r="A72" s="21"/>
      <c r="B72" s="21"/>
      <c r="C72" s="17"/>
      <c r="D72" s="21" t="s">
        <v>358</v>
      </c>
      <c r="E72" s="21" t="s">
        <v>359</v>
      </c>
      <c r="F72" s="21"/>
      <c r="G72" s="17">
        <v>1</v>
      </c>
      <c r="H72" s="93"/>
    </row>
    <row r="73" spans="1:20" x14ac:dyDescent="0.35">
      <c r="A73" s="21"/>
      <c r="B73" s="21"/>
      <c r="C73" s="17"/>
      <c r="D73" s="21" t="s">
        <v>265</v>
      </c>
      <c r="E73" s="21" t="s">
        <v>266</v>
      </c>
      <c r="F73" s="21"/>
      <c r="G73" s="17">
        <v>1</v>
      </c>
      <c r="H73" s="93"/>
    </row>
    <row r="74" spans="1:20" s="76" customFormat="1" ht="21.75" thickBot="1" x14ac:dyDescent="0.4">
      <c r="A74" s="48"/>
      <c r="B74" s="48"/>
      <c r="C74" s="49"/>
      <c r="D74" s="48"/>
      <c r="E74" s="48"/>
      <c r="F74" s="49"/>
      <c r="G74" s="49"/>
      <c r="H74" s="94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</row>
    <row r="75" spans="1:20" x14ac:dyDescent="0.35">
      <c r="A75" s="46" t="s">
        <v>74</v>
      </c>
      <c r="B75" s="46" t="s">
        <v>226</v>
      </c>
      <c r="C75" s="51">
        <v>4874</v>
      </c>
      <c r="D75" s="46" t="s">
        <v>174</v>
      </c>
      <c r="E75" s="46" t="s">
        <v>175</v>
      </c>
      <c r="F75" s="47" t="s">
        <v>28</v>
      </c>
      <c r="G75" s="47">
        <v>1</v>
      </c>
      <c r="H75" s="95">
        <v>46122</v>
      </c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</row>
    <row r="76" spans="1:20" x14ac:dyDescent="0.35">
      <c r="A76" s="78"/>
      <c r="B76" s="78"/>
      <c r="C76" s="85"/>
      <c r="D76" s="78"/>
      <c r="E76" s="78"/>
      <c r="F76" s="57" t="s">
        <v>295</v>
      </c>
      <c r="G76" s="77"/>
      <c r="H76" s="96"/>
    </row>
    <row r="77" spans="1:20" s="76" customFormat="1" ht="21.75" thickBot="1" x14ac:dyDescent="0.4">
      <c r="A77" s="48"/>
      <c r="B77" s="48"/>
      <c r="C77" s="49"/>
      <c r="D77" s="48"/>
      <c r="E77" s="48"/>
      <c r="F77" s="22"/>
      <c r="G77" s="49"/>
      <c r="H77" s="94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</row>
    <row r="78" spans="1:20" x14ac:dyDescent="0.35">
      <c r="A78" s="46" t="s">
        <v>136</v>
      </c>
      <c r="B78" s="46" t="s">
        <v>223</v>
      </c>
      <c r="C78" s="53">
        <v>4875</v>
      </c>
      <c r="D78" s="46" t="s">
        <v>76</v>
      </c>
      <c r="E78" s="46" t="s">
        <v>150</v>
      </c>
      <c r="F78" s="47" t="s">
        <v>382</v>
      </c>
      <c r="G78" s="47">
        <v>7</v>
      </c>
      <c r="H78" s="95">
        <v>46125</v>
      </c>
      <c r="I78" s="47">
        <v>1.1599999999999999</v>
      </c>
      <c r="J78" s="47"/>
      <c r="K78" s="47"/>
      <c r="L78" s="47">
        <v>1.1599999999999999</v>
      </c>
      <c r="M78" s="47">
        <v>1.1599999999999999</v>
      </c>
      <c r="N78" s="47"/>
      <c r="O78" s="47"/>
      <c r="P78" s="47"/>
      <c r="Q78" s="47"/>
      <c r="R78" s="47"/>
      <c r="S78" s="47"/>
      <c r="T78" s="47"/>
    </row>
    <row r="79" spans="1:20" x14ac:dyDescent="0.35">
      <c r="A79" s="21"/>
      <c r="B79" s="21"/>
      <c r="C79" s="17"/>
      <c r="D79" s="21" t="s">
        <v>106</v>
      </c>
      <c r="E79" s="21" t="s">
        <v>69</v>
      </c>
      <c r="F79" s="21"/>
      <c r="G79" s="17">
        <v>7</v>
      </c>
      <c r="H79" s="93"/>
      <c r="I79" s="17">
        <v>2.33</v>
      </c>
      <c r="L79" s="17">
        <v>2.33</v>
      </c>
      <c r="M79" s="17">
        <v>2.33</v>
      </c>
    </row>
    <row r="80" spans="1:20" x14ac:dyDescent="0.35">
      <c r="A80" s="21"/>
      <c r="B80" s="21"/>
      <c r="C80" s="17"/>
      <c r="D80" s="21" t="s">
        <v>77</v>
      </c>
      <c r="E80" s="21" t="s">
        <v>20</v>
      </c>
      <c r="F80" s="21"/>
      <c r="G80" s="17">
        <v>7</v>
      </c>
      <c r="H80" s="93"/>
    </row>
    <row r="81" spans="1:13" x14ac:dyDescent="0.35">
      <c r="A81" s="21"/>
      <c r="B81" s="21"/>
      <c r="C81" s="17"/>
      <c r="D81" s="21" t="s">
        <v>92</v>
      </c>
      <c r="E81" s="21" t="s">
        <v>51</v>
      </c>
      <c r="F81" s="21"/>
      <c r="G81" s="17">
        <v>7</v>
      </c>
      <c r="H81" s="93"/>
    </row>
    <row r="82" spans="1:13" x14ac:dyDescent="0.35">
      <c r="A82" s="21"/>
      <c r="B82" s="21"/>
      <c r="C82" s="17"/>
      <c r="D82" s="21" t="s">
        <v>100</v>
      </c>
      <c r="E82" s="21" t="s">
        <v>377</v>
      </c>
      <c r="F82" s="21"/>
      <c r="G82" s="17">
        <v>7</v>
      </c>
      <c r="H82" s="93"/>
    </row>
    <row r="83" spans="1:13" x14ac:dyDescent="0.35">
      <c r="A83" s="21"/>
      <c r="B83" s="21"/>
      <c r="C83" s="17"/>
      <c r="D83" s="21" t="s">
        <v>83</v>
      </c>
      <c r="E83" s="21" t="s">
        <v>12</v>
      </c>
      <c r="F83" s="21"/>
      <c r="G83" s="17">
        <v>7</v>
      </c>
      <c r="H83" s="93"/>
    </row>
    <row r="84" spans="1:13" x14ac:dyDescent="0.35">
      <c r="A84" s="21"/>
      <c r="B84" s="21"/>
      <c r="C84" s="17"/>
      <c r="D84" s="21" t="s">
        <v>84</v>
      </c>
      <c r="E84" s="21" t="s">
        <v>13</v>
      </c>
      <c r="F84" s="21"/>
      <c r="G84" s="17">
        <v>7</v>
      </c>
      <c r="H84" s="93"/>
    </row>
    <row r="85" spans="1:13" x14ac:dyDescent="0.35">
      <c r="A85" s="21"/>
      <c r="B85" s="21"/>
      <c r="C85" s="17"/>
      <c r="D85" s="21" t="s">
        <v>227</v>
      </c>
      <c r="E85" s="21" t="s">
        <v>228</v>
      </c>
      <c r="F85" s="21"/>
      <c r="G85" s="17">
        <v>7</v>
      </c>
      <c r="H85" s="93"/>
      <c r="I85" s="17">
        <v>2.33</v>
      </c>
      <c r="L85" s="17">
        <v>2.33</v>
      </c>
      <c r="M85" s="17">
        <v>2.33</v>
      </c>
    </row>
    <row r="86" spans="1:13" x14ac:dyDescent="0.35">
      <c r="A86" s="21"/>
      <c r="B86" s="21"/>
      <c r="C86" s="17"/>
      <c r="D86" s="21" t="s">
        <v>88</v>
      </c>
      <c r="E86" s="21" t="s">
        <v>23</v>
      </c>
      <c r="F86" s="21"/>
      <c r="G86" s="17">
        <v>7</v>
      </c>
      <c r="H86" s="93"/>
      <c r="I86" s="17">
        <v>2</v>
      </c>
      <c r="L86" s="17">
        <v>2.33</v>
      </c>
      <c r="M86" s="17">
        <v>2.33</v>
      </c>
    </row>
    <row r="87" spans="1:13" x14ac:dyDescent="0.35">
      <c r="A87" s="21"/>
      <c r="B87" s="21"/>
      <c r="C87" s="17"/>
      <c r="D87" s="21" t="s">
        <v>87</v>
      </c>
      <c r="E87" s="21" t="s">
        <v>21</v>
      </c>
      <c r="F87" s="21"/>
      <c r="G87" s="17">
        <v>7</v>
      </c>
      <c r="H87" s="93"/>
      <c r="I87" s="17">
        <v>2</v>
      </c>
      <c r="L87" s="17">
        <v>2.33</v>
      </c>
      <c r="M87" s="17">
        <v>2.33</v>
      </c>
    </row>
    <row r="88" spans="1:13" x14ac:dyDescent="0.35">
      <c r="A88" s="21"/>
      <c r="B88" s="21"/>
      <c r="C88" s="17"/>
      <c r="D88" s="21" t="s">
        <v>75</v>
      </c>
      <c r="E88" s="21" t="s">
        <v>55</v>
      </c>
      <c r="F88" s="21"/>
      <c r="G88" s="17">
        <v>7</v>
      </c>
      <c r="H88" s="93"/>
      <c r="I88" s="17">
        <v>2</v>
      </c>
      <c r="L88" s="17">
        <v>2.33</v>
      </c>
      <c r="M88" s="17">
        <v>2.33</v>
      </c>
    </row>
    <row r="89" spans="1:13" x14ac:dyDescent="0.35">
      <c r="A89" s="21"/>
      <c r="B89" s="21"/>
      <c r="C89" s="17"/>
      <c r="D89" s="21" t="s">
        <v>378</v>
      </c>
      <c r="E89" s="21" t="s">
        <v>379</v>
      </c>
      <c r="F89" s="21"/>
      <c r="G89" s="17">
        <v>7</v>
      </c>
      <c r="H89" s="93"/>
    </row>
    <row r="90" spans="1:13" x14ac:dyDescent="0.35">
      <c r="A90" s="21"/>
      <c r="B90" s="21"/>
      <c r="C90" s="17"/>
      <c r="D90" s="21" t="s">
        <v>81</v>
      </c>
      <c r="E90" s="21" t="s">
        <v>15</v>
      </c>
      <c r="F90" s="21"/>
      <c r="G90" s="17">
        <v>7</v>
      </c>
      <c r="H90" s="93"/>
      <c r="I90" s="17">
        <v>2.33</v>
      </c>
      <c r="L90" s="17">
        <v>2.33</v>
      </c>
      <c r="M90" s="17">
        <v>2.33</v>
      </c>
    </row>
    <row r="91" spans="1:13" x14ac:dyDescent="0.35">
      <c r="A91" s="21"/>
      <c r="B91" s="21"/>
      <c r="C91" s="17"/>
      <c r="D91" s="21" t="s">
        <v>328</v>
      </c>
      <c r="E91" s="21" t="s">
        <v>284</v>
      </c>
      <c r="F91" s="21"/>
      <c r="G91" s="17">
        <v>168</v>
      </c>
      <c r="H91" s="93"/>
    </row>
    <row r="92" spans="1:13" x14ac:dyDescent="0.35">
      <c r="A92" s="21"/>
      <c r="B92" s="21"/>
      <c r="C92" s="17"/>
      <c r="D92" s="21" t="s">
        <v>322</v>
      </c>
      <c r="E92" s="21" t="s">
        <v>323</v>
      </c>
      <c r="F92" s="21"/>
      <c r="G92" s="17">
        <v>7</v>
      </c>
      <c r="H92" s="93"/>
    </row>
    <row r="93" spans="1:13" x14ac:dyDescent="0.35">
      <c r="A93" s="21"/>
      <c r="B93" s="21"/>
      <c r="C93" s="17"/>
      <c r="D93" s="21" t="s">
        <v>127</v>
      </c>
      <c r="E93" s="21" t="s">
        <v>128</v>
      </c>
      <c r="F93" s="21"/>
      <c r="G93" s="17">
        <v>7</v>
      </c>
      <c r="H93" s="93"/>
    </row>
    <row r="94" spans="1:13" x14ac:dyDescent="0.35">
      <c r="A94" s="21"/>
      <c r="B94" s="21"/>
      <c r="C94" s="17"/>
      <c r="D94" s="21" t="s">
        <v>116</v>
      </c>
      <c r="E94" s="21" t="s">
        <v>122</v>
      </c>
      <c r="F94" s="21"/>
      <c r="G94" s="17">
        <v>7</v>
      </c>
      <c r="H94" s="93"/>
    </row>
    <row r="95" spans="1:13" x14ac:dyDescent="0.35">
      <c r="A95" s="21"/>
      <c r="B95" s="21"/>
      <c r="C95" s="17"/>
      <c r="D95" s="21" t="s">
        <v>324</v>
      </c>
      <c r="E95" s="21" t="s">
        <v>325</v>
      </c>
      <c r="F95" s="21"/>
      <c r="G95" s="17">
        <v>7</v>
      </c>
      <c r="H95" s="93"/>
    </row>
    <row r="96" spans="1:13" x14ac:dyDescent="0.35">
      <c r="A96" s="21"/>
      <c r="B96" s="21"/>
      <c r="C96" s="17"/>
      <c r="D96" s="21" t="s">
        <v>157</v>
      </c>
      <c r="E96" s="21" t="s">
        <v>158</v>
      </c>
      <c r="F96" s="21"/>
      <c r="G96" s="17">
        <v>7</v>
      </c>
      <c r="H96" s="93"/>
    </row>
    <row r="97" spans="1:20" x14ac:dyDescent="0.35">
      <c r="A97" s="21"/>
      <c r="B97" s="21"/>
      <c r="C97" s="17"/>
      <c r="D97" s="21" t="s">
        <v>112</v>
      </c>
      <c r="E97" s="21" t="s">
        <v>118</v>
      </c>
      <c r="F97" s="21"/>
      <c r="G97" s="17">
        <v>7</v>
      </c>
      <c r="H97" s="93"/>
    </row>
    <row r="98" spans="1:20" x14ac:dyDescent="0.35">
      <c r="A98" s="21"/>
      <c r="B98" s="21"/>
      <c r="C98" s="17"/>
      <c r="D98" s="21" t="s">
        <v>239</v>
      </c>
      <c r="E98" s="21" t="s">
        <v>240</v>
      </c>
      <c r="F98" s="21"/>
      <c r="G98" s="17">
        <v>7</v>
      </c>
      <c r="H98" s="93"/>
    </row>
    <row r="99" spans="1:20" x14ac:dyDescent="0.35">
      <c r="A99" s="21"/>
      <c r="B99" s="21"/>
      <c r="C99" s="17"/>
      <c r="D99" s="21" t="s">
        <v>380</v>
      </c>
      <c r="E99" s="21" t="s">
        <v>381</v>
      </c>
      <c r="F99" s="21"/>
      <c r="G99" s="17">
        <v>7</v>
      </c>
      <c r="H99" s="93"/>
    </row>
    <row r="100" spans="1:20" s="76" customFormat="1" ht="21.75" thickBot="1" x14ac:dyDescent="0.4">
      <c r="A100" s="48"/>
      <c r="B100" s="48"/>
      <c r="C100" s="49"/>
      <c r="D100" s="48"/>
      <c r="E100" s="48"/>
      <c r="F100" s="49"/>
      <c r="G100" s="49"/>
      <c r="H100" s="94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</row>
    <row r="101" spans="1:20" x14ac:dyDescent="0.35">
      <c r="A101" s="46" t="s">
        <v>74</v>
      </c>
      <c r="B101" s="46" t="s">
        <v>226</v>
      </c>
      <c r="C101" s="53">
        <v>4877</v>
      </c>
      <c r="D101" s="46" t="s">
        <v>229</v>
      </c>
      <c r="E101" s="46" t="s">
        <v>299</v>
      </c>
      <c r="F101" s="47" t="s">
        <v>386</v>
      </c>
      <c r="G101" s="47">
        <v>1</v>
      </c>
      <c r="H101" s="95">
        <v>46125</v>
      </c>
      <c r="I101" s="47">
        <v>2</v>
      </c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</row>
    <row r="102" spans="1:20" x14ac:dyDescent="0.35">
      <c r="A102" s="21"/>
      <c r="B102" s="21"/>
      <c r="C102" s="17"/>
      <c r="D102" s="21" t="s">
        <v>300</v>
      </c>
      <c r="E102" s="21" t="s">
        <v>301</v>
      </c>
      <c r="F102" s="21"/>
      <c r="G102" s="17">
        <v>1</v>
      </c>
      <c r="H102" s="93"/>
      <c r="I102" s="17">
        <v>2</v>
      </c>
    </row>
    <row r="103" spans="1:20" s="76" customFormat="1" ht="21.75" thickBot="1" x14ac:dyDescent="0.4">
      <c r="A103" s="48"/>
      <c r="B103" s="48"/>
      <c r="C103" s="49"/>
      <c r="D103" s="48"/>
      <c r="E103" s="48"/>
      <c r="F103" s="49"/>
      <c r="G103" s="49"/>
      <c r="H103" s="94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</row>
    <row r="104" spans="1:20" x14ac:dyDescent="0.35">
      <c r="A104" s="46" t="s">
        <v>74</v>
      </c>
      <c r="B104" s="46" t="s">
        <v>226</v>
      </c>
      <c r="C104" s="53">
        <v>4888</v>
      </c>
      <c r="D104" s="46" t="s">
        <v>76</v>
      </c>
      <c r="E104" s="46" t="s">
        <v>150</v>
      </c>
      <c r="F104" s="47" t="s">
        <v>28</v>
      </c>
      <c r="G104" s="47">
        <v>15</v>
      </c>
      <c r="H104" s="95">
        <v>46127</v>
      </c>
      <c r="I104" s="47"/>
      <c r="J104" s="47"/>
      <c r="K104" s="47"/>
      <c r="L104" s="47"/>
      <c r="M104" s="47">
        <v>3.5</v>
      </c>
      <c r="N104" s="47"/>
      <c r="O104" s="47"/>
      <c r="P104" s="47"/>
      <c r="Q104" s="47"/>
      <c r="R104" s="47"/>
      <c r="S104" s="47"/>
      <c r="T104" s="47"/>
    </row>
    <row r="105" spans="1:20" x14ac:dyDescent="0.35">
      <c r="A105" s="21"/>
      <c r="B105" s="21"/>
      <c r="C105" s="17"/>
      <c r="D105" s="21" t="s">
        <v>80</v>
      </c>
      <c r="E105" s="21" t="s">
        <v>19</v>
      </c>
      <c r="F105" s="50"/>
      <c r="G105" s="17">
        <v>15</v>
      </c>
      <c r="H105" s="93"/>
      <c r="M105" s="17">
        <v>7</v>
      </c>
    </row>
    <row r="106" spans="1:20" x14ac:dyDescent="0.35">
      <c r="A106" s="21"/>
      <c r="B106" s="21"/>
      <c r="C106" s="17"/>
      <c r="D106" s="21" t="s">
        <v>77</v>
      </c>
      <c r="E106" s="21" t="s">
        <v>20</v>
      </c>
      <c r="F106" s="64" t="s">
        <v>477</v>
      </c>
      <c r="G106" s="17">
        <v>15</v>
      </c>
      <c r="H106" s="93"/>
    </row>
    <row r="107" spans="1:20" x14ac:dyDescent="0.35">
      <c r="A107" s="21"/>
      <c r="B107" s="21"/>
      <c r="C107" s="17"/>
      <c r="D107" s="21" t="s">
        <v>174</v>
      </c>
      <c r="E107" s="21" t="s">
        <v>175</v>
      </c>
      <c r="F107" s="21"/>
      <c r="G107" s="17">
        <v>15</v>
      </c>
      <c r="H107" s="93"/>
    </row>
    <row r="108" spans="1:20" s="76" customFormat="1" ht="21.75" thickBot="1" x14ac:dyDescent="0.4">
      <c r="A108" s="60"/>
      <c r="B108" s="60"/>
      <c r="C108" s="61"/>
      <c r="D108" s="60"/>
      <c r="E108" s="60"/>
      <c r="F108" s="61"/>
      <c r="G108" s="61"/>
      <c r="H108" s="97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</row>
    <row r="109" spans="1:20" x14ac:dyDescent="0.35">
      <c r="A109" s="46" t="s">
        <v>11</v>
      </c>
      <c r="B109" s="46" t="s">
        <v>163</v>
      </c>
      <c r="C109" s="53">
        <v>4894</v>
      </c>
      <c r="D109" s="46" t="s">
        <v>97</v>
      </c>
      <c r="E109" s="46" t="s">
        <v>24</v>
      </c>
      <c r="F109" s="47" t="s">
        <v>147</v>
      </c>
      <c r="G109" s="47">
        <v>1</v>
      </c>
      <c r="H109" s="95">
        <v>46129</v>
      </c>
      <c r="I109" s="47"/>
      <c r="J109" s="47"/>
      <c r="K109" s="47">
        <v>1</v>
      </c>
      <c r="L109" s="47"/>
      <c r="M109" s="47"/>
      <c r="N109" s="47"/>
      <c r="O109" s="47"/>
      <c r="P109" s="47"/>
      <c r="Q109" s="47"/>
      <c r="R109" s="47"/>
      <c r="S109" s="47"/>
      <c r="T109" s="47"/>
    </row>
    <row r="110" spans="1:20" x14ac:dyDescent="0.35">
      <c r="A110" s="21"/>
      <c r="B110" s="21"/>
      <c r="C110" s="17"/>
      <c r="D110" s="21" t="s">
        <v>91</v>
      </c>
      <c r="E110" s="21" t="s">
        <v>27</v>
      </c>
      <c r="F110" s="21"/>
      <c r="G110" s="17">
        <v>1</v>
      </c>
      <c r="H110" s="93"/>
    </row>
    <row r="111" spans="1:20" x14ac:dyDescent="0.35">
      <c r="A111" s="21"/>
      <c r="B111" s="21"/>
      <c r="C111" s="17"/>
      <c r="D111" s="21" t="s">
        <v>93</v>
      </c>
      <c r="E111" s="21" t="s">
        <v>14</v>
      </c>
      <c r="F111" s="21"/>
      <c r="G111" s="17">
        <v>1</v>
      </c>
      <c r="H111" s="93"/>
      <c r="K111" s="17">
        <v>1</v>
      </c>
    </row>
    <row r="112" spans="1:20" x14ac:dyDescent="0.35">
      <c r="A112" s="21"/>
      <c r="B112" s="21"/>
      <c r="C112" s="17"/>
      <c r="D112" s="21" t="s">
        <v>123</v>
      </c>
      <c r="E112" s="21" t="s">
        <v>25</v>
      </c>
      <c r="F112" s="21"/>
      <c r="G112" s="17">
        <v>1</v>
      </c>
      <c r="H112" s="93"/>
      <c r="K112" s="17">
        <v>1</v>
      </c>
    </row>
    <row r="113" spans="1:20" x14ac:dyDescent="0.35">
      <c r="A113" s="21"/>
      <c r="B113" s="21"/>
      <c r="C113" s="17"/>
      <c r="D113" s="21" t="s">
        <v>87</v>
      </c>
      <c r="E113" s="21" t="s">
        <v>21</v>
      </c>
      <c r="F113" s="21"/>
      <c r="G113" s="17">
        <v>1</v>
      </c>
      <c r="H113" s="93"/>
      <c r="K113" s="17">
        <v>1</v>
      </c>
    </row>
    <row r="114" spans="1:20" x14ac:dyDescent="0.35">
      <c r="A114" s="21"/>
      <c r="B114" s="21"/>
      <c r="C114" s="17"/>
      <c r="D114" s="21" t="s">
        <v>107</v>
      </c>
      <c r="E114" s="21" t="s">
        <v>125</v>
      </c>
      <c r="F114" s="21"/>
      <c r="G114" s="17">
        <v>1</v>
      </c>
      <c r="H114" s="93"/>
      <c r="K114" s="17">
        <v>1</v>
      </c>
    </row>
    <row r="115" spans="1:20" x14ac:dyDescent="0.35">
      <c r="A115" s="21"/>
      <c r="B115" s="21"/>
      <c r="C115" s="17"/>
      <c r="D115" s="21" t="s">
        <v>137</v>
      </c>
      <c r="E115" s="21" t="s">
        <v>138</v>
      </c>
      <c r="F115" s="21"/>
      <c r="G115" s="17">
        <v>3</v>
      </c>
      <c r="H115" s="93"/>
    </row>
    <row r="116" spans="1:20" x14ac:dyDescent="0.35">
      <c r="A116" s="21"/>
      <c r="B116" s="21"/>
      <c r="C116" s="17"/>
      <c r="D116" s="21" t="s">
        <v>82</v>
      </c>
      <c r="E116" s="21" t="s">
        <v>26</v>
      </c>
      <c r="F116" s="21"/>
      <c r="G116" s="17">
        <v>1</v>
      </c>
      <c r="H116" s="93"/>
    </row>
    <row r="117" spans="1:20" x14ac:dyDescent="0.35">
      <c r="A117" s="21"/>
      <c r="B117" s="21"/>
      <c r="C117" s="17"/>
      <c r="D117" s="21" t="s">
        <v>127</v>
      </c>
      <c r="E117" s="21" t="s">
        <v>128</v>
      </c>
      <c r="F117" s="21"/>
      <c r="G117" s="17">
        <v>1</v>
      </c>
      <c r="H117" s="93"/>
    </row>
    <row r="118" spans="1:20" s="76" customFormat="1" ht="21.75" thickBot="1" x14ac:dyDescent="0.4">
      <c r="A118" s="48"/>
      <c r="B118" s="48"/>
      <c r="C118" s="49"/>
      <c r="D118" s="48"/>
      <c r="E118" s="48"/>
      <c r="F118" s="49"/>
      <c r="G118" s="49"/>
      <c r="H118" s="94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</row>
    <row r="119" spans="1:20" x14ac:dyDescent="0.35">
      <c r="A119" s="46" t="s">
        <v>11</v>
      </c>
      <c r="B119" s="46" t="s">
        <v>163</v>
      </c>
      <c r="C119" s="54">
        <v>4900</v>
      </c>
      <c r="D119" s="46" t="s">
        <v>76</v>
      </c>
      <c r="E119" s="46" t="s">
        <v>150</v>
      </c>
      <c r="F119" s="47" t="s">
        <v>407</v>
      </c>
      <c r="G119" s="47">
        <v>1</v>
      </c>
      <c r="H119" s="95">
        <v>46132</v>
      </c>
      <c r="I119" s="47"/>
      <c r="J119" s="47"/>
      <c r="K119" s="17">
        <v>0.5</v>
      </c>
      <c r="N119" s="17">
        <v>0.5</v>
      </c>
      <c r="O119" s="47"/>
      <c r="P119" s="47"/>
      <c r="Q119" s="47"/>
      <c r="R119" s="47"/>
      <c r="S119" s="47"/>
      <c r="T119" s="47"/>
    </row>
    <row r="120" spans="1:20" x14ac:dyDescent="0.35">
      <c r="A120" s="21"/>
      <c r="B120" s="21"/>
      <c r="C120" s="17"/>
      <c r="D120" s="21" t="s">
        <v>215</v>
      </c>
      <c r="E120" s="21" t="s">
        <v>216</v>
      </c>
      <c r="F120" s="21"/>
      <c r="G120" s="17">
        <v>1</v>
      </c>
      <c r="H120" s="93"/>
      <c r="K120" s="17">
        <v>0.5</v>
      </c>
      <c r="N120" s="17">
        <v>0.5</v>
      </c>
    </row>
    <row r="121" spans="1:20" x14ac:dyDescent="0.35">
      <c r="A121" s="21"/>
      <c r="B121" s="21"/>
      <c r="C121" s="17"/>
      <c r="D121" s="21" t="s">
        <v>77</v>
      </c>
      <c r="E121" s="21" t="s">
        <v>20</v>
      </c>
      <c r="F121" s="21"/>
      <c r="G121" s="17">
        <v>1</v>
      </c>
      <c r="H121" s="93"/>
    </row>
    <row r="122" spans="1:20" x14ac:dyDescent="0.35">
      <c r="A122" s="21"/>
      <c r="B122" s="21"/>
      <c r="C122" s="17"/>
      <c r="D122" s="21" t="s">
        <v>93</v>
      </c>
      <c r="E122" s="21" t="s">
        <v>14</v>
      </c>
      <c r="F122" s="21"/>
      <c r="G122" s="17">
        <v>1</v>
      </c>
      <c r="H122" s="93"/>
      <c r="K122" s="17">
        <v>0.5</v>
      </c>
      <c r="N122" s="17">
        <v>0.5</v>
      </c>
    </row>
    <row r="123" spans="1:20" x14ac:dyDescent="0.35">
      <c r="A123" s="21"/>
      <c r="B123" s="21"/>
      <c r="C123" s="17"/>
      <c r="D123" s="21" t="s">
        <v>170</v>
      </c>
      <c r="E123" s="21" t="s">
        <v>171</v>
      </c>
      <c r="F123" s="21"/>
      <c r="G123" s="17">
        <v>1</v>
      </c>
      <c r="H123" s="93"/>
    </row>
    <row r="124" spans="1:20" s="76" customFormat="1" ht="21.75" thickBot="1" x14ac:dyDescent="0.4">
      <c r="A124" s="48"/>
      <c r="B124" s="48"/>
      <c r="C124" s="49"/>
      <c r="D124" s="48"/>
      <c r="E124" s="48"/>
      <c r="F124" s="49"/>
      <c r="G124" s="49"/>
      <c r="H124" s="94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</row>
    <row r="125" spans="1:20" x14ac:dyDescent="0.35">
      <c r="A125" s="46" t="s">
        <v>270</v>
      </c>
      <c r="B125" s="46" t="s">
        <v>220</v>
      </c>
      <c r="C125" s="53">
        <v>4903</v>
      </c>
      <c r="D125" s="46"/>
      <c r="E125" s="46"/>
      <c r="F125" s="47" t="s">
        <v>389</v>
      </c>
      <c r="G125" s="47">
        <v>1</v>
      </c>
      <c r="H125" s="95">
        <v>46133</v>
      </c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</row>
    <row r="126" spans="1:20" x14ac:dyDescent="0.35">
      <c r="A126" s="21"/>
      <c r="B126" s="21"/>
      <c r="C126" s="17"/>
      <c r="D126" s="21" t="s">
        <v>410</v>
      </c>
      <c r="E126" s="21" t="s">
        <v>411</v>
      </c>
      <c r="F126" s="21"/>
      <c r="G126" s="17">
        <v>1</v>
      </c>
      <c r="H126" s="93"/>
    </row>
    <row r="127" spans="1:20" s="76" customFormat="1" ht="21.75" thickBot="1" x14ac:dyDescent="0.4">
      <c r="A127" s="48"/>
      <c r="B127" s="48"/>
      <c r="C127" s="49"/>
      <c r="D127" s="48"/>
      <c r="E127" s="48"/>
      <c r="F127" s="49"/>
      <c r="G127" s="49"/>
      <c r="H127" s="94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</row>
    <row r="128" spans="1:20" x14ac:dyDescent="0.35">
      <c r="A128" s="46" t="s">
        <v>11</v>
      </c>
      <c r="B128" s="46" t="s">
        <v>163</v>
      </c>
      <c r="C128" s="54">
        <v>4907</v>
      </c>
      <c r="D128" s="46" t="s">
        <v>97</v>
      </c>
      <c r="E128" s="46" t="s">
        <v>24</v>
      </c>
      <c r="F128" s="47" t="s">
        <v>421</v>
      </c>
      <c r="G128" s="47">
        <v>3</v>
      </c>
      <c r="H128" s="95">
        <v>46133</v>
      </c>
      <c r="I128" s="47"/>
      <c r="J128" s="47"/>
      <c r="K128" s="47">
        <v>1.5</v>
      </c>
      <c r="L128" s="47"/>
      <c r="M128" s="47"/>
      <c r="N128" s="47">
        <v>1.5</v>
      </c>
      <c r="O128" s="47"/>
      <c r="P128" s="47"/>
      <c r="Q128" s="47"/>
      <c r="R128" s="47"/>
      <c r="S128" s="47"/>
      <c r="T128" s="47"/>
    </row>
    <row r="129" spans="1:20" x14ac:dyDescent="0.35">
      <c r="A129" s="21"/>
      <c r="B129" s="21"/>
      <c r="C129" s="17"/>
      <c r="D129" s="21" t="s">
        <v>98</v>
      </c>
      <c r="E129" s="21" t="s">
        <v>57</v>
      </c>
      <c r="F129" s="21"/>
      <c r="G129" s="17">
        <v>3</v>
      </c>
      <c r="H129" s="93"/>
    </row>
    <row r="130" spans="1:20" x14ac:dyDescent="0.35">
      <c r="A130" s="21"/>
      <c r="B130" s="21"/>
      <c r="C130" s="17"/>
      <c r="D130" s="21" t="s">
        <v>100</v>
      </c>
      <c r="E130" s="21" t="s">
        <v>417</v>
      </c>
      <c r="F130" s="21"/>
      <c r="G130" s="17">
        <v>3</v>
      </c>
      <c r="H130" s="93"/>
    </row>
    <row r="131" spans="1:20" x14ac:dyDescent="0.35">
      <c r="A131" s="21"/>
      <c r="B131" s="21"/>
      <c r="C131" s="17"/>
      <c r="D131" s="21" t="s">
        <v>93</v>
      </c>
      <c r="E131" s="21" t="s">
        <v>14</v>
      </c>
      <c r="F131" s="21"/>
      <c r="G131" s="17">
        <v>3</v>
      </c>
      <c r="H131" s="93"/>
      <c r="K131" s="17">
        <v>1.5</v>
      </c>
      <c r="N131" s="17">
        <v>1.5</v>
      </c>
    </row>
    <row r="132" spans="1:20" x14ac:dyDescent="0.35">
      <c r="A132" s="21"/>
      <c r="B132" s="21"/>
      <c r="C132" s="17"/>
      <c r="D132" s="21" t="s">
        <v>99</v>
      </c>
      <c r="E132" s="21" t="s">
        <v>418</v>
      </c>
      <c r="F132" s="21"/>
      <c r="G132" s="17">
        <v>3</v>
      </c>
      <c r="H132" s="93"/>
      <c r="K132" s="17">
        <v>1.5</v>
      </c>
      <c r="N132" s="17">
        <v>1.5</v>
      </c>
    </row>
    <row r="133" spans="1:20" x14ac:dyDescent="0.35">
      <c r="A133" s="21"/>
      <c r="B133" s="21"/>
      <c r="C133" s="17"/>
      <c r="D133" s="21" t="s">
        <v>87</v>
      </c>
      <c r="E133" s="21" t="s">
        <v>419</v>
      </c>
      <c r="F133" s="21"/>
      <c r="G133" s="17">
        <v>3</v>
      </c>
      <c r="H133" s="93"/>
      <c r="K133" s="17">
        <v>1.5</v>
      </c>
      <c r="N133" s="17">
        <v>1.5</v>
      </c>
    </row>
    <row r="134" spans="1:20" x14ac:dyDescent="0.35">
      <c r="A134" s="21"/>
      <c r="B134" s="21"/>
      <c r="C134" s="17"/>
      <c r="D134" s="21" t="s">
        <v>107</v>
      </c>
      <c r="E134" s="21" t="s">
        <v>420</v>
      </c>
      <c r="F134" s="21"/>
      <c r="G134" s="17">
        <v>3</v>
      </c>
      <c r="H134" s="93"/>
      <c r="K134" s="17">
        <v>1.5</v>
      </c>
      <c r="N134" s="17">
        <v>1.5</v>
      </c>
    </row>
    <row r="135" spans="1:20" x14ac:dyDescent="0.35">
      <c r="A135" s="21"/>
      <c r="B135" s="21"/>
      <c r="C135" s="17"/>
      <c r="D135" s="21" t="s">
        <v>137</v>
      </c>
      <c r="E135" s="21" t="s">
        <v>138</v>
      </c>
      <c r="F135" s="21"/>
      <c r="G135" s="17">
        <v>9</v>
      </c>
      <c r="H135" s="93"/>
    </row>
    <row r="136" spans="1:20" x14ac:dyDescent="0.35">
      <c r="A136" s="21"/>
      <c r="B136" s="21"/>
      <c r="C136" s="17"/>
      <c r="D136" s="21" t="s">
        <v>127</v>
      </c>
      <c r="E136" s="21" t="s">
        <v>128</v>
      </c>
      <c r="F136" s="21"/>
      <c r="G136" s="17">
        <v>3</v>
      </c>
      <c r="H136" s="93"/>
    </row>
    <row r="137" spans="1:20" x14ac:dyDescent="0.35">
      <c r="A137" s="21"/>
      <c r="B137" s="21"/>
      <c r="C137" s="17"/>
      <c r="D137" s="21" t="s">
        <v>82</v>
      </c>
      <c r="E137" s="21" t="s">
        <v>26</v>
      </c>
      <c r="F137" s="21"/>
      <c r="G137" s="17">
        <v>3</v>
      </c>
      <c r="H137" s="93"/>
    </row>
    <row r="138" spans="1:20" s="76" customFormat="1" ht="21.75" thickBot="1" x14ac:dyDescent="0.4">
      <c r="A138" s="48"/>
      <c r="B138" s="48"/>
      <c r="C138" s="49"/>
      <c r="D138" s="48"/>
      <c r="E138" s="48"/>
      <c r="F138" s="49"/>
      <c r="G138" s="49"/>
      <c r="H138" s="94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</row>
    <row r="139" spans="1:20" x14ac:dyDescent="0.35">
      <c r="A139" s="46" t="s">
        <v>422</v>
      </c>
      <c r="B139" s="46" t="s">
        <v>414</v>
      </c>
      <c r="C139" s="53">
        <v>4908</v>
      </c>
      <c r="D139" s="46" t="s">
        <v>401</v>
      </c>
      <c r="E139" s="46" t="s">
        <v>423</v>
      </c>
      <c r="F139" s="47" t="s">
        <v>426</v>
      </c>
      <c r="G139" s="47">
        <v>1</v>
      </c>
      <c r="H139" s="95">
        <v>46133</v>
      </c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</row>
    <row r="140" spans="1:20" x14ac:dyDescent="0.35">
      <c r="A140" s="21"/>
      <c r="B140" s="21"/>
      <c r="C140" s="17"/>
      <c r="D140" s="21" t="s">
        <v>76</v>
      </c>
      <c r="E140" s="21" t="s">
        <v>150</v>
      </c>
      <c r="F140" s="21"/>
      <c r="G140" s="17">
        <v>1</v>
      </c>
      <c r="H140" s="93"/>
      <c r="J140" s="17">
        <v>0.5</v>
      </c>
    </row>
    <row r="141" spans="1:20" x14ac:dyDescent="0.35">
      <c r="A141" s="21"/>
      <c r="B141" s="21"/>
      <c r="C141" s="17"/>
      <c r="D141" s="21" t="s">
        <v>80</v>
      </c>
      <c r="E141" s="21" t="s">
        <v>19</v>
      </c>
      <c r="F141" s="21"/>
      <c r="G141" s="17">
        <v>1</v>
      </c>
      <c r="H141" s="93"/>
      <c r="J141" s="17">
        <v>1</v>
      </c>
    </row>
    <row r="142" spans="1:20" x14ac:dyDescent="0.35">
      <c r="A142" s="21"/>
      <c r="B142" s="21"/>
      <c r="C142" s="17"/>
      <c r="D142" s="21" t="s">
        <v>77</v>
      </c>
      <c r="E142" s="21" t="s">
        <v>20</v>
      </c>
      <c r="F142" s="21"/>
      <c r="G142" s="17">
        <v>1</v>
      </c>
      <c r="H142" s="93"/>
    </row>
    <row r="143" spans="1:20" x14ac:dyDescent="0.35">
      <c r="A143" s="21"/>
      <c r="B143" s="21"/>
      <c r="C143" s="17"/>
      <c r="D143" s="21" t="s">
        <v>424</v>
      </c>
      <c r="E143" s="21" t="s">
        <v>425</v>
      </c>
      <c r="F143" s="21"/>
      <c r="G143" s="17">
        <v>1</v>
      </c>
      <c r="H143" s="93"/>
    </row>
    <row r="144" spans="1:20" x14ac:dyDescent="0.35">
      <c r="A144" s="21"/>
      <c r="B144" s="21"/>
      <c r="C144" s="17"/>
      <c r="D144" s="21" t="s">
        <v>297</v>
      </c>
      <c r="E144" s="21" t="s">
        <v>298</v>
      </c>
      <c r="F144" s="21"/>
      <c r="G144" s="17">
        <v>1</v>
      </c>
      <c r="H144" s="93"/>
    </row>
    <row r="145" spans="1:20" s="76" customFormat="1" ht="21.75" thickBot="1" x14ac:dyDescent="0.4">
      <c r="A145" s="48"/>
      <c r="B145" s="48"/>
      <c r="C145" s="49"/>
      <c r="D145" s="48"/>
      <c r="E145" s="48"/>
      <c r="F145" s="49"/>
      <c r="G145" s="49"/>
      <c r="H145" s="94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</row>
    <row r="146" spans="1:20" x14ac:dyDescent="0.35">
      <c r="A146" s="46" t="s">
        <v>74</v>
      </c>
      <c r="B146" s="46" t="s">
        <v>226</v>
      </c>
      <c r="C146" s="54">
        <v>4910</v>
      </c>
      <c r="D146" s="46" t="s">
        <v>76</v>
      </c>
      <c r="E146" s="46" t="s">
        <v>150</v>
      </c>
      <c r="F146" s="47" t="s">
        <v>28</v>
      </c>
      <c r="G146" s="47">
        <v>2</v>
      </c>
      <c r="H146" s="95">
        <v>38830</v>
      </c>
      <c r="I146" s="47"/>
      <c r="J146" s="47"/>
      <c r="K146" s="47"/>
      <c r="L146" s="47"/>
      <c r="M146" s="47">
        <v>1</v>
      </c>
      <c r="N146" s="47"/>
      <c r="O146" s="47"/>
      <c r="P146" s="47"/>
      <c r="Q146" s="47"/>
      <c r="R146" s="47"/>
      <c r="S146" s="47"/>
      <c r="T146" s="47"/>
    </row>
    <row r="147" spans="1:20" x14ac:dyDescent="0.35">
      <c r="A147" s="21"/>
      <c r="B147" s="21"/>
      <c r="C147" s="17"/>
      <c r="D147" s="21" t="s">
        <v>80</v>
      </c>
      <c r="E147" s="21" t="s">
        <v>19</v>
      </c>
      <c r="F147" s="21"/>
      <c r="G147" s="17">
        <v>2</v>
      </c>
      <c r="H147" s="93"/>
      <c r="M147" s="17">
        <v>2</v>
      </c>
    </row>
    <row r="148" spans="1:20" x14ac:dyDescent="0.35">
      <c r="A148" s="21"/>
      <c r="B148" s="21"/>
      <c r="C148" s="17"/>
      <c r="D148" s="21" t="s">
        <v>77</v>
      </c>
      <c r="E148" s="21" t="s">
        <v>20</v>
      </c>
      <c r="F148" s="21"/>
      <c r="G148" s="17">
        <v>2</v>
      </c>
      <c r="H148" s="93"/>
    </row>
    <row r="149" spans="1:20" x14ac:dyDescent="0.35">
      <c r="A149" s="21"/>
      <c r="B149" s="21"/>
      <c r="C149" s="17"/>
      <c r="D149" s="21" t="s">
        <v>227</v>
      </c>
      <c r="E149" s="21" t="s">
        <v>228</v>
      </c>
      <c r="F149" s="21"/>
      <c r="G149" s="17">
        <v>2</v>
      </c>
      <c r="H149" s="93"/>
      <c r="I149" s="17">
        <v>2</v>
      </c>
    </row>
    <row r="150" spans="1:20" x14ac:dyDescent="0.35">
      <c r="A150" s="21"/>
      <c r="B150" s="21"/>
      <c r="C150" s="17"/>
      <c r="D150" s="21" t="s">
        <v>123</v>
      </c>
      <c r="E150" s="21" t="s">
        <v>25</v>
      </c>
      <c r="F150" s="21"/>
      <c r="G150" s="17">
        <v>2</v>
      </c>
      <c r="H150" s="93"/>
      <c r="I150" s="17">
        <v>4</v>
      </c>
    </row>
    <row r="151" spans="1:20" x14ac:dyDescent="0.35">
      <c r="A151" s="21"/>
      <c r="B151" s="21"/>
      <c r="C151" s="17"/>
      <c r="D151" s="21" t="s">
        <v>246</v>
      </c>
      <c r="E151" s="21" t="s">
        <v>247</v>
      </c>
      <c r="F151" s="21"/>
      <c r="G151" s="17">
        <v>2</v>
      </c>
      <c r="H151" s="93"/>
      <c r="I151" s="17">
        <v>4</v>
      </c>
    </row>
    <row r="152" spans="1:20" x14ac:dyDescent="0.35">
      <c r="A152" s="21"/>
      <c r="B152" s="21"/>
      <c r="C152" s="17"/>
      <c r="D152" s="21" t="s">
        <v>79</v>
      </c>
      <c r="E152" s="21" t="s">
        <v>73</v>
      </c>
      <c r="F152" s="21"/>
      <c r="G152" s="17">
        <v>2</v>
      </c>
      <c r="H152" s="93"/>
      <c r="I152" s="17">
        <v>4</v>
      </c>
    </row>
    <row r="153" spans="1:20" x14ac:dyDescent="0.35">
      <c r="A153" s="21"/>
      <c r="B153" s="21"/>
      <c r="C153" s="17"/>
      <c r="D153" s="21" t="s">
        <v>75</v>
      </c>
      <c r="E153" s="21" t="s">
        <v>55</v>
      </c>
      <c r="F153" s="21"/>
      <c r="G153" s="17">
        <v>2</v>
      </c>
      <c r="H153" s="93"/>
      <c r="I153" s="17">
        <v>4</v>
      </c>
    </row>
    <row r="154" spans="1:20" x14ac:dyDescent="0.35">
      <c r="A154" s="21"/>
      <c r="B154" s="21"/>
      <c r="C154" s="17"/>
      <c r="D154" s="21" t="s">
        <v>81</v>
      </c>
      <c r="E154" s="21" t="s">
        <v>15</v>
      </c>
      <c r="F154" s="21"/>
      <c r="G154" s="17">
        <v>2</v>
      </c>
      <c r="H154" s="93"/>
      <c r="M154" s="17">
        <v>2</v>
      </c>
    </row>
    <row r="155" spans="1:20" x14ac:dyDescent="0.35">
      <c r="A155" s="21"/>
      <c r="B155" s="21"/>
      <c r="C155" s="17"/>
      <c r="D155" s="21" t="s">
        <v>94</v>
      </c>
      <c r="E155" s="21" t="s">
        <v>18</v>
      </c>
      <c r="F155" s="21"/>
      <c r="G155" s="17">
        <v>48</v>
      </c>
      <c r="H155" s="93"/>
    </row>
    <row r="156" spans="1:20" s="76" customFormat="1" ht="21.75" thickBot="1" x14ac:dyDescent="0.4">
      <c r="A156" s="48"/>
      <c r="B156" s="48"/>
      <c r="C156" s="49"/>
      <c r="D156" s="48"/>
      <c r="E156" s="48"/>
      <c r="F156" s="49"/>
      <c r="G156" s="49"/>
      <c r="H156" s="94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</row>
    <row r="157" spans="1:20" x14ac:dyDescent="0.35">
      <c r="A157" s="46" t="s">
        <v>11</v>
      </c>
      <c r="B157" s="46" t="s">
        <v>163</v>
      </c>
      <c r="C157" s="54">
        <v>4913</v>
      </c>
      <c r="D157" s="46" t="s">
        <v>97</v>
      </c>
      <c r="E157" s="46" t="s">
        <v>24</v>
      </c>
      <c r="F157" s="47" t="s">
        <v>421</v>
      </c>
      <c r="G157" s="47">
        <v>3</v>
      </c>
      <c r="H157" s="95">
        <v>46135</v>
      </c>
      <c r="I157" s="47"/>
      <c r="J157" s="47"/>
      <c r="K157" s="47">
        <v>1.5</v>
      </c>
      <c r="L157" s="47"/>
      <c r="M157" s="47"/>
      <c r="N157" s="47">
        <v>1.5</v>
      </c>
      <c r="O157" s="47"/>
      <c r="P157" s="47"/>
      <c r="Q157" s="47"/>
      <c r="R157" s="47"/>
      <c r="S157" s="47"/>
      <c r="T157" s="47"/>
    </row>
    <row r="158" spans="1:20" x14ac:dyDescent="0.35">
      <c r="A158" s="21"/>
      <c r="B158" s="21"/>
      <c r="C158" s="17"/>
      <c r="D158" s="21" t="s">
        <v>91</v>
      </c>
      <c r="E158" s="21" t="s">
        <v>27</v>
      </c>
      <c r="F158" s="17"/>
      <c r="G158" s="17">
        <v>3</v>
      </c>
      <c r="H158" s="93"/>
    </row>
    <row r="159" spans="1:20" x14ac:dyDescent="0.35">
      <c r="A159" s="21"/>
      <c r="B159" s="21"/>
      <c r="C159" s="17"/>
      <c r="D159" s="21" t="s">
        <v>93</v>
      </c>
      <c r="E159" s="21" t="s">
        <v>14</v>
      </c>
      <c r="F159" s="17"/>
      <c r="G159" s="17">
        <v>3</v>
      </c>
      <c r="H159" s="93"/>
      <c r="K159" s="17">
        <v>1.5</v>
      </c>
      <c r="N159" s="17">
        <v>1.5</v>
      </c>
    </row>
    <row r="160" spans="1:20" x14ac:dyDescent="0.35">
      <c r="A160" s="21"/>
      <c r="B160" s="21"/>
      <c r="C160" s="17"/>
      <c r="D160" s="21" t="s">
        <v>123</v>
      </c>
      <c r="E160" s="21" t="s">
        <v>25</v>
      </c>
      <c r="F160" s="17"/>
      <c r="G160" s="17">
        <v>3</v>
      </c>
      <c r="H160" s="93"/>
      <c r="K160" s="17">
        <v>1.5</v>
      </c>
      <c r="N160" s="17">
        <v>1.5</v>
      </c>
    </row>
    <row r="161" spans="1:20" x14ac:dyDescent="0.35">
      <c r="A161" s="21"/>
      <c r="B161" s="21"/>
      <c r="C161" s="17"/>
      <c r="D161" s="21" t="s">
        <v>87</v>
      </c>
      <c r="E161" s="21" t="s">
        <v>21</v>
      </c>
      <c r="F161" s="17"/>
      <c r="G161" s="17">
        <v>3</v>
      </c>
      <c r="H161" s="93"/>
      <c r="K161" s="17">
        <v>1.5</v>
      </c>
      <c r="N161" s="17">
        <v>1.5</v>
      </c>
    </row>
    <row r="162" spans="1:20" x14ac:dyDescent="0.35">
      <c r="A162" s="21"/>
      <c r="B162" s="21"/>
      <c r="C162" s="17"/>
      <c r="D162" s="21" t="s">
        <v>107</v>
      </c>
      <c r="E162" s="21" t="s">
        <v>125</v>
      </c>
      <c r="F162" s="17"/>
      <c r="G162" s="17">
        <v>3</v>
      </c>
      <c r="H162" s="93"/>
      <c r="K162" s="17">
        <v>1.5</v>
      </c>
      <c r="N162" s="17">
        <v>1.5</v>
      </c>
    </row>
    <row r="163" spans="1:20" x14ac:dyDescent="0.35">
      <c r="A163" s="21"/>
      <c r="B163" s="21"/>
      <c r="C163" s="17"/>
      <c r="D163" s="21" t="s">
        <v>137</v>
      </c>
      <c r="E163" s="21" t="s">
        <v>138</v>
      </c>
      <c r="F163" s="17"/>
      <c r="G163" s="17">
        <v>9</v>
      </c>
      <c r="H163" s="93"/>
    </row>
    <row r="164" spans="1:20" x14ac:dyDescent="0.35">
      <c r="A164" s="21"/>
      <c r="B164" s="21"/>
      <c r="C164" s="17"/>
      <c r="D164" s="21" t="s">
        <v>82</v>
      </c>
      <c r="E164" s="21" t="s">
        <v>26</v>
      </c>
      <c r="F164" s="17"/>
      <c r="G164" s="17">
        <v>3</v>
      </c>
      <c r="H164" s="93"/>
    </row>
    <row r="165" spans="1:20" x14ac:dyDescent="0.35">
      <c r="A165" s="21"/>
      <c r="B165" s="21"/>
      <c r="C165" s="17"/>
      <c r="D165" s="21" t="s">
        <v>127</v>
      </c>
      <c r="E165" s="21" t="s">
        <v>128</v>
      </c>
      <c r="F165" s="17"/>
      <c r="G165" s="17">
        <v>3</v>
      </c>
      <c r="H165" s="93"/>
    </row>
    <row r="166" spans="1:20" x14ac:dyDescent="0.35">
      <c r="A166" s="21"/>
      <c r="B166" s="21"/>
      <c r="C166" s="17"/>
      <c r="D166" s="21" t="s">
        <v>365</v>
      </c>
      <c r="E166" s="21" t="s">
        <v>366</v>
      </c>
      <c r="F166" s="17"/>
      <c r="G166" s="17">
        <v>3</v>
      </c>
      <c r="H166" s="93"/>
    </row>
    <row r="167" spans="1:20" s="76" customFormat="1" ht="21.75" thickBot="1" x14ac:dyDescent="0.4">
      <c r="A167" s="48"/>
      <c r="B167" s="48"/>
      <c r="C167" s="49"/>
      <c r="D167" s="48"/>
      <c r="E167" s="48"/>
      <c r="F167" s="49"/>
      <c r="G167" s="49"/>
      <c r="H167" s="94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</row>
    <row r="168" spans="1:20" x14ac:dyDescent="0.35">
      <c r="A168" s="46" t="s">
        <v>11</v>
      </c>
      <c r="B168" s="46" t="s">
        <v>163</v>
      </c>
      <c r="C168" s="54">
        <v>4914</v>
      </c>
      <c r="D168" s="46" t="s">
        <v>76</v>
      </c>
      <c r="E168" s="79" t="s">
        <v>150</v>
      </c>
      <c r="F168" s="47" t="s">
        <v>438</v>
      </c>
      <c r="G168" s="80">
        <v>2</v>
      </c>
      <c r="H168" s="95">
        <v>46135</v>
      </c>
      <c r="I168" s="47"/>
      <c r="J168" s="47"/>
      <c r="K168" s="47">
        <v>1</v>
      </c>
      <c r="L168" s="47"/>
      <c r="M168" s="47"/>
      <c r="N168" s="47">
        <v>1</v>
      </c>
      <c r="O168" s="47"/>
      <c r="P168" s="47"/>
      <c r="Q168" s="47"/>
      <c r="R168" s="47"/>
      <c r="S168" s="47"/>
      <c r="T168" s="47"/>
    </row>
    <row r="169" spans="1:20" x14ac:dyDescent="0.35">
      <c r="A169" s="21"/>
      <c r="B169" s="21"/>
      <c r="C169" s="17"/>
      <c r="D169" s="21" t="s">
        <v>77</v>
      </c>
      <c r="E169" s="71" t="s">
        <v>20</v>
      </c>
      <c r="F169" s="17"/>
      <c r="G169" s="72">
        <v>2</v>
      </c>
      <c r="H169" s="93"/>
    </row>
    <row r="170" spans="1:20" x14ac:dyDescent="0.35">
      <c r="A170" s="21"/>
      <c r="B170" s="21"/>
      <c r="C170" s="17"/>
      <c r="D170" s="21" t="s">
        <v>93</v>
      </c>
      <c r="E170" s="71" t="s">
        <v>14</v>
      </c>
      <c r="F170" s="17"/>
      <c r="G170" s="72">
        <v>2</v>
      </c>
      <c r="H170" s="93"/>
      <c r="K170" s="17">
        <v>1</v>
      </c>
      <c r="N170" s="17">
        <v>1</v>
      </c>
    </row>
    <row r="171" spans="1:20" s="76" customFormat="1" ht="21.75" thickBot="1" x14ac:dyDescent="0.4">
      <c r="A171" s="48"/>
      <c r="B171" s="48"/>
      <c r="C171" s="49"/>
      <c r="D171" s="48"/>
      <c r="E171" s="48"/>
      <c r="F171" s="81"/>
      <c r="G171" s="49"/>
      <c r="H171" s="94"/>
      <c r="I171" s="49"/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</row>
    <row r="172" spans="1:20" x14ac:dyDescent="0.35">
      <c r="A172" s="78" t="s">
        <v>439</v>
      </c>
      <c r="B172" s="78" t="s">
        <v>220</v>
      </c>
      <c r="C172" s="77">
        <v>4915</v>
      </c>
      <c r="D172" s="78" t="s">
        <v>97</v>
      </c>
      <c r="E172" s="78" t="s">
        <v>24</v>
      </c>
      <c r="F172" s="82" t="s">
        <v>219</v>
      </c>
      <c r="G172" s="77">
        <v>3</v>
      </c>
      <c r="H172" s="96">
        <v>46135</v>
      </c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</row>
    <row r="173" spans="1:20" s="70" customFormat="1" x14ac:dyDescent="0.35">
      <c r="A173" s="21"/>
      <c r="B173" s="21"/>
      <c r="C173" s="17"/>
      <c r="D173" s="21" t="s">
        <v>100</v>
      </c>
      <c r="E173" s="21" t="s">
        <v>50</v>
      </c>
      <c r="G173" s="17">
        <v>3</v>
      </c>
      <c r="H173" s="98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</row>
    <row r="174" spans="1:20" s="83" customFormat="1" ht="21.75" thickBot="1" x14ac:dyDescent="0.4">
      <c r="A174" s="48"/>
      <c r="B174" s="48"/>
      <c r="C174" s="49"/>
      <c r="D174" s="48"/>
      <c r="E174" s="48"/>
      <c r="F174" s="49"/>
      <c r="G174" s="49"/>
      <c r="H174" s="94"/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</row>
    <row r="175" spans="1:20" x14ac:dyDescent="0.35">
      <c r="A175" s="46" t="s">
        <v>136</v>
      </c>
      <c r="B175" s="46" t="s">
        <v>223</v>
      </c>
      <c r="C175" s="53">
        <v>4916</v>
      </c>
      <c r="D175" s="46" t="s">
        <v>76</v>
      </c>
      <c r="E175" s="46" t="s">
        <v>150</v>
      </c>
      <c r="F175" s="47" t="s">
        <v>440</v>
      </c>
      <c r="G175" s="47">
        <v>2</v>
      </c>
      <c r="H175" s="95">
        <v>46136</v>
      </c>
      <c r="I175" s="47"/>
      <c r="J175" s="47"/>
      <c r="K175" s="47"/>
      <c r="L175" s="47"/>
      <c r="M175" s="47"/>
      <c r="N175" s="47">
        <v>1</v>
      </c>
      <c r="O175" s="47"/>
      <c r="P175" s="47"/>
      <c r="Q175" s="47"/>
      <c r="R175" s="47"/>
      <c r="S175" s="47"/>
      <c r="T175" s="47"/>
    </row>
    <row r="176" spans="1:20" x14ac:dyDescent="0.35">
      <c r="A176" s="21"/>
      <c r="B176" s="21"/>
      <c r="C176" s="17"/>
      <c r="D176" s="21" t="s">
        <v>106</v>
      </c>
      <c r="E176" s="21" t="s">
        <v>69</v>
      </c>
      <c r="F176" s="17"/>
      <c r="G176" s="17">
        <v>2</v>
      </c>
      <c r="H176" s="93"/>
      <c r="N176" s="17">
        <v>2</v>
      </c>
    </row>
    <row r="177" spans="1:20" x14ac:dyDescent="0.35">
      <c r="A177" s="21"/>
      <c r="B177" s="21"/>
      <c r="C177" s="17"/>
      <c r="D177" s="21" t="s">
        <v>77</v>
      </c>
      <c r="E177" s="21" t="s">
        <v>20</v>
      </c>
      <c r="F177" s="17"/>
      <c r="G177" s="17">
        <v>2</v>
      </c>
      <c r="H177" s="93"/>
    </row>
    <row r="178" spans="1:20" x14ac:dyDescent="0.35">
      <c r="A178" s="21"/>
      <c r="B178" s="21"/>
      <c r="C178" s="17"/>
      <c r="D178" s="21" t="s">
        <v>93</v>
      </c>
      <c r="E178" s="21" t="s">
        <v>14</v>
      </c>
      <c r="F178" s="17"/>
      <c r="G178" s="17">
        <v>2</v>
      </c>
      <c r="H178" s="93"/>
      <c r="N178" s="17">
        <v>2</v>
      </c>
    </row>
    <row r="179" spans="1:20" x14ac:dyDescent="0.35">
      <c r="A179" s="21"/>
      <c r="B179" s="21"/>
      <c r="C179" s="17"/>
      <c r="D179" s="21" t="s">
        <v>123</v>
      </c>
      <c r="E179" s="21" t="s">
        <v>25</v>
      </c>
      <c r="F179" s="17"/>
      <c r="G179" s="17">
        <v>2</v>
      </c>
      <c r="H179" s="93"/>
      <c r="K179" s="17">
        <v>2</v>
      </c>
    </row>
    <row r="180" spans="1:20" x14ac:dyDescent="0.35">
      <c r="A180" s="21"/>
      <c r="B180" s="21"/>
      <c r="C180" s="17"/>
      <c r="D180" s="21" t="s">
        <v>85</v>
      </c>
      <c r="E180" s="21" t="s">
        <v>22</v>
      </c>
      <c r="F180" s="17"/>
      <c r="G180" s="17">
        <v>2</v>
      </c>
      <c r="H180" s="93"/>
      <c r="K180" s="17">
        <v>2</v>
      </c>
    </row>
    <row r="181" spans="1:20" x14ac:dyDescent="0.35">
      <c r="A181" s="21"/>
      <c r="B181" s="21"/>
      <c r="C181" s="17"/>
      <c r="D181" s="21" t="s">
        <v>75</v>
      </c>
      <c r="E181" s="21" t="s">
        <v>55</v>
      </c>
      <c r="F181" s="17"/>
      <c r="G181" s="17">
        <v>2</v>
      </c>
      <c r="H181" s="93"/>
      <c r="K181" s="17">
        <v>2</v>
      </c>
    </row>
    <row r="182" spans="1:20" x14ac:dyDescent="0.35">
      <c r="A182" s="21"/>
      <c r="B182" s="21"/>
      <c r="C182" s="17"/>
      <c r="D182" s="21" t="s">
        <v>81</v>
      </c>
      <c r="E182" s="21" t="s">
        <v>15</v>
      </c>
      <c r="F182" s="17"/>
      <c r="G182" s="17">
        <v>2</v>
      </c>
      <c r="H182" s="93"/>
      <c r="N182" s="17">
        <v>2</v>
      </c>
    </row>
    <row r="183" spans="1:20" x14ac:dyDescent="0.35">
      <c r="A183" s="21"/>
      <c r="B183" s="21"/>
      <c r="C183" s="17"/>
      <c r="D183" s="21" t="s">
        <v>96</v>
      </c>
      <c r="E183" s="21" t="s">
        <v>139</v>
      </c>
      <c r="F183" s="17"/>
      <c r="G183" s="17">
        <v>48</v>
      </c>
      <c r="H183" s="93"/>
    </row>
    <row r="184" spans="1:20" x14ac:dyDescent="0.35">
      <c r="A184" s="21"/>
      <c r="B184" s="21"/>
      <c r="C184" s="17"/>
      <c r="D184" s="21" t="s">
        <v>89</v>
      </c>
      <c r="E184" s="21" t="s">
        <v>90</v>
      </c>
      <c r="F184" s="17"/>
      <c r="G184" s="17">
        <v>2</v>
      </c>
      <c r="H184" s="93"/>
    </row>
    <row r="185" spans="1:20" x14ac:dyDescent="0.35">
      <c r="A185" s="21"/>
      <c r="B185" s="21"/>
      <c r="C185" s="17"/>
      <c r="D185" s="21" t="s">
        <v>256</v>
      </c>
      <c r="E185" s="21" t="s">
        <v>257</v>
      </c>
      <c r="F185" s="17"/>
      <c r="G185" s="17">
        <v>2</v>
      </c>
      <c r="H185" s="93"/>
    </row>
    <row r="186" spans="1:20" s="76" customFormat="1" ht="21.75" thickBot="1" x14ac:dyDescent="0.4">
      <c r="A186" s="48"/>
      <c r="B186" s="48"/>
      <c r="C186" s="49"/>
      <c r="D186" s="48"/>
      <c r="E186" s="48"/>
      <c r="F186" s="49"/>
      <c r="G186" s="49"/>
      <c r="H186" s="94"/>
      <c r="I186" s="49"/>
      <c r="J186" s="49"/>
      <c r="K186" s="49"/>
      <c r="L186" s="49"/>
      <c r="M186" s="49"/>
      <c r="N186" s="49"/>
      <c r="O186" s="49"/>
      <c r="P186" s="49"/>
      <c r="Q186" s="49"/>
      <c r="R186" s="49"/>
      <c r="S186" s="49"/>
      <c r="T186" s="49"/>
    </row>
    <row r="187" spans="1:20" x14ac:dyDescent="0.35">
      <c r="A187" s="46" t="s">
        <v>441</v>
      </c>
      <c r="B187" s="46" t="s">
        <v>220</v>
      </c>
      <c r="C187" s="47">
        <v>4917</v>
      </c>
      <c r="D187" s="46" t="s">
        <v>442</v>
      </c>
      <c r="E187" s="46" t="s">
        <v>443</v>
      </c>
      <c r="F187" s="82" t="s">
        <v>219</v>
      </c>
      <c r="G187" s="47">
        <v>2</v>
      </c>
      <c r="H187" s="95">
        <v>46136</v>
      </c>
      <c r="I187" s="47"/>
      <c r="J187" s="47"/>
      <c r="K187" s="47"/>
      <c r="L187" s="47"/>
      <c r="M187" s="47"/>
      <c r="N187" s="47"/>
      <c r="O187" s="47"/>
      <c r="P187" s="47"/>
      <c r="Q187" s="47"/>
      <c r="R187" s="47"/>
      <c r="S187" s="47"/>
      <c r="T187" s="47"/>
    </row>
    <row r="188" spans="1:20" s="76" customFormat="1" ht="21.75" thickBot="1" x14ac:dyDescent="0.4">
      <c r="A188" s="48"/>
      <c r="B188" s="48"/>
      <c r="C188" s="49"/>
      <c r="D188" s="48"/>
      <c r="E188" s="48"/>
      <c r="F188" s="49"/>
      <c r="G188" s="49"/>
      <c r="H188" s="94"/>
      <c r="I188" s="49"/>
      <c r="J188" s="49"/>
      <c r="K188" s="49"/>
      <c r="L188" s="49"/>
      <c r="M188" s="49"/>
      <c r="N188" s="49"/>
      <c r="O188" s="49"/>
      <c r="P188" s="49"/>
      <c r="Q188" s="49"/>
      <c r="R188" s="49"/>
      <c r="S188" s="49"/>
      <c r="T188" s="49"/>
    </row>
    <row r="189" spans="1:20" x14ac:dyDescent="0.35">
      <c r="A189" s="46" t="s">
        <v>74</v>
      </c>
      <c r="B189" s="46" t="s">
        <v>226</v>
      </c>
      <c r="C189" s="54">
        <v>4918</v>
      </c>
      <c r="D189" s="46" t="s">
        <v>76</v>
      </c>
      <c r="E189" s="46" t="s">
        <v>150</v>
      </c>
      <c r="F189" s="47" t="s">
        <v>28</v>
      </c>
      <c r="G189" s="47">
        <v>2</v>
      </c>
      <c r="H189" s="95">
        <v>46136</v>
      </c>
      <c r="I189" s="47"/>
      <c r="J189" s="47"/>
      <c r="K189" s="47"/>
      <c r="L189" s="47"/>
      <c r="M189" s="47">
        <v>1</v>
      </c>
      <c r="N189" s="47"/>
      <c r="O189" s="47"/>
      <c r="P189" s="47"/>
      <c r="Q189" s="47"/>
      <c r="R189" s="47"/>
      <c r="S189" s="47"/>
      <c r="T189" s="47"/>
    </row>
    <row r="190" spans="1:20" x14ac:dyDescent="0.35">
      <c r="A190" s="21"/>
      <c r="B190" s="21"/>
      <c r="C190" s="17"/>
      <c r="D190" s="21" t="s">
        <v>80</v>
      </c>
      <c r="E190" s="21" t="s">
        <v>19</v>
      </c>
      <c r="F190" s="17"/>
      <c r="G190" s="17">
        <v>2</v>
      </c>
      <c r="H190" s="93"/>
      <c r="M190" s="17">
        <v>2</v>
      </c>
    </row>
    <row r="191" spans="1:20" x14ac:dyDescent="0.35">
      <c r="A191" s="21"/>
      <c r="B191" s="21"/>
      <c r="C191" s="17"/>
      <c r="D191" s="21" t="s">
        <v>77</v>
      </c>
      <c r="E191" s="21" t="s">
        <v>20</v>
      </c>
      <c r="F191" s="17"/>
      <c r="G191" s="17">
        <v>2</v>
      </c>
      <c r="H191" s="93"/>
    </row>
    <row r="192" spans="1:20" x14ac:dyDescent="0.35">
      <c r="A192" s="21"/>
      <c r="B192" s="21"/>
      <c r="C192" s="17"/>
      <c r="D192" s="21" t="s">
        <v>227</v>
      </c>
      <c r="E192" s="21" t="s">
        <v>228</v>
      </c>
      <c r="F192" s="17"/>
      <c r="G192" s="17">
        <v>2</v>
      </c>
      <c r="H192" s="93"/>
      <c r="J192" s="17">
        <v>2</v>
      </c>
    </row>
    <row r="193" spans="1:20" x14ac:dyDescent="0.35">
      <c r="A193" s="21"/>
      <c r="B193" s="21"/>
      <c r="C193" s="17"/>
      <c r="D193" s="21" t="s">
        <v>123</v>
      </c>
      <c r="E193" s="21" t="s">
        <v>25</v>
      </c>
      <c r="F193" s="17"/>
      <c r="G193" s="17">
        <v>2</v>
      </c>
      <c r="H193" s="93"/>
      <c r="L193" s="17">
        <v>2</v>
      </c>
    </row>
    <row r="194" spans="1:20" x14ac:dyDescent="0.35">
      <c r="A194" s="21"/>
      <c r="B194" s="21"/>
      <c r="C194" s="17"/>
      <c r="D194" s="21" t="s">
        <v>246</v>
      </c>
      <c r="E194" s="21" t="s">
        <v>247</v>
      </c>
      <c r="F194" s="17" t="s">
        <v>444</v>
      </c>
      <c r="G194" s="17">
        <v>2</v>
      </c>
      <c r="H194" s="93"/>
      <c r="L194" s="17">
        <v>2</v>
      </c>
    </row>
    <row r="195" spans="1:20" x14ac:dyDescent="0.35">
      <c r="A195" s="21"/>
      <c r="B195" s="21"/>
      <c r="C195" s="17"/>
      <c r="D195" s="21" t="s">
        <v>75</v>
      </c>
      <c r="E195" s="21" t="s">
        <v>55</v>
      </c>
      <c r="F195" s="17" t="s">
        <v>445</v>
      </c>
      <c r="G195" s="17">
        <v>2</v>
      </c>
      <c r="H195" s="93"/>
      <c r="L195" s="17">
        <v>2</v>
      </c>
    </row>
    <row r="196" spans="1:20" s="76" customFormat="1" ht="21.75" thickBot="1" x14ac:dyDescent="0.4">
      <c r="A196" s="48"/>
      <c r="B196" s="48"/>
      <c r="C196" s="49"/>
      <c r="D196" s="48"/>
      <c r="E196" s="48"/>
      <c r="F196" s="49"/>
      <c r="G196" s="49"/>
      <c r="H196" s="94"/>
      <c r="I196" s="49"/>
      <c r="J196" s="49"/>
      <c r="K196" s="49"/>
      <c r="L196" s="49"/>
      <c r="M196" s="49"/>
      <c r="N196" s="49"/>
      <c r="O196" s="49"/>
      <c r="P196" s="49"/>
      <c r="Q196" s="49"/>
      <c r="R196" s="49"/>
      <c r="S196" s="49"/>
      <c r="T196" s="49"/>
    </row>
    <row r="197" spans="1:20" x14ac:dyDescent="0.35">
      <c r="A197" s="46" t="s">
        <v>446</v>
      </c>
      <c r="B197" s="46" t="s">
        <v>220</v>
      </c>
      <c r="C197" s="53">
        <v>4919</v>
      </c>
      <c r="D197" s="46" t="s">
        <v>76</v>
      </c>
      <c r="E197" s="46" t="s">
        <v>150</v>
      </c>
      <c r="F197" s="47" t="s">
        <v>447</v>
      </c>
      <c r="G197" s="47">
        <v>1</v>
      </c>
      <c r="H197" s="95">
        <v>46136</v>
      </c>
      <c r="I197" s="47">
        <v>0.16</v>
      </c>
      <c r="J197" s="47"/>
      <c r="K197" s="47"/>
      <c r="L197" s="47">
        <v>0.16</v>
      </c>
      <c r="M197" s="47">
        <v>0.16</v>
      </c>
      <c r="N197" s="47"/>
      <c r="O197" s="47"/>
      <c r="P197" s="47"/>
      <c r="Q197" s="47"/>
      <c r="R197" s="47"/>
      <c r="S197" s="47"/>
      <c r="T197" s="47"/>
    </row>
    <row r="198" spans="1:20" x14ac:dyDescent="0.35">
      <c r="A198" s="21"/>
      <c r="B198" s="21"/>
      <c r="C198" s="17"/>
      <c r="D198" s="21" t="s">
        <v>80</v>
      </c>
      <c r="E198" s="21" t="s">
        <v>19</v>
      </c>
      <c r="F198" s="17"/>
      <c r="G198" s="17">
        <v>1</v>
      </c>
      <c r="H198" s="93"/>
      <c r="I198" s="17">
        <v>0.33</v>
      </c>
      <c r="L198" s="17">
        <v>0.33</v>
      </c>
      <c r="M198" s="17">
        <v>0.33</v>
      </c>
    </row>
    <row r="199" spans="1:20" x14ac:dyDescent="0.35">
      <c r="A199" s="21"/>
      <c r="B199" s="21"/>
      <c r="C199" s="17"/>
      <c r="D199" s="21" t="s">
        <v>77</v>
      </c>
      <c r="E199" s="21" t="s">
        <v>20</v>
      </c>
      <c r="F199" s="17"/>
      <c r="G199" s="17">
        <v>1</v>
      </c>
      <c r="H199" s="93"/>
    </row>
    <row r="200" spans="1:20" x14ac:dyDescent="0.35">
      <c r="A200" s="21"/>
      <c r="B200" s="21"/>
      <c r="C200" s="17"/>
      <c r="D200" s="21" t="s">
        <v>83</v>
      </c>
      <c r="E200" s="21" t="s">
        <v>12</v>
      </c>
      <c r="F200" s="17"/>
      <c r="G200" s="17">
        <v>1</v>
      </c>
      <c r="H200" s="93"/>
    </row>
    <row r="201" spans="1:20" x14ac:dyDescent="0.35">
      <c r="A201" s="21"/>
      <c r="B201" s="21"/>
      <c r="C201" s="17"/>
      <c r="D201" s="21" t="s">
        <v>84</v>
      </c>
      <c r="E201" s="21" t="s">
        <v>13</v>
      </c>
      <c r="F201" s="17"/>
      <c r="G201" s="17">
        <v>1</v>
      </c>
      <c r="H201" s="93"/>
    </row>
    <row r="202" spans="1:20" x14ac:dyDescent="0.35">
      <c r="A202" s="21"/>
      <c r="B202" s="21"/>
      <c r="C202" s="17"/>
      <c r="D202" s="21" t="s">
        <v>93</v>
      </c>
      <c r="E202" s="21" t="s">
        <v>14</v>
      </c>
      <c r="F202" s="17"/>
      <c r="G202" s="17">
        <v>1</v>
      </c>
      <c r="H202" s="93"/>
      <c r="I202" s="17">
        <v>0.33</v>
      </c>
      <c r="L202" s="17">
        <v>0.33</v>
      </c>
      <c r="M202" s="17">
        <v>0.33</v>
      </c>
    </row>
    <row r="203" spans="1:20" x14ac:dyDescent="0.35">
      <c r="A203" s="21"/>
      <c r="B203" s="21"/>
      <c r="C203" s="17"/>
      <c r="D203" s="21" t="s">
        <v>75</v>
      </c>
      <c r="E203" s="21" t="s">
        <v>55</v>
      </c>
      <c r="F203" s="17"/>
      <c r="G203" s="17">
        <v>1</v>
      </c>
      <c r="H203" s="93"/>
      <c r="I203" s="17">
        <v>2</v>
      </c>
      <c r="L203" s="17">
        <v>0.33</v>
      </c>
      <c r="M203" s="17">
        <v>0.33</v>
      </c>
    </row>
    <row r="204" spans="1:20" s="76" customFormat="1" ht="21.75" thickBot="1" x14ac:dyDescent="0.4">
      <c r="A204" s="48"/>
      <c r="B204" s="48"/>
      <c r="C204" s="49"/>
      <c r="D204" s="48"/>
      <c r="E204" s="48"/>
      <c r="F204" s="49"/>
      <c r="G204" s="49"/>
      <c r="H204" s="94"/>
      <c r="I204" s="49"/>
      <c r="J204" s="49"/>
      <c r="K204" s="49"/>
      <c r="L204" s="49"/>
      <c r="M204" s="49"/>
      <c r="N204" s="49"/>
      <c r="O204" s="49"/>
      <c r="P204" s="49"/>
      <c r="Q204" s="49"/>
      <c r="R204" s="49"/>
      <c r="S204" s="49"/>
      <c r="T204" s="49"/>
    </row>
    <row r="205" spans="1:20" x14ac:dyDescent="0.35">
      <c r="A205" s="46" t="s">
        <v>136</v>
      </c>
      <c r="B205" s="46" t="s">
        <v>448</v>
      </c>
      <c r="C205" s="47">
        <v>4920</v>
      </c>
      <c r="D205" s="46" t="s">
        <v>89</v>
      </c>
      <c r="E205" s="46" t="s">
        <v>90</v>
      </c>
      <c r="F205" s="19" t="s">
        <v>28</v>
      </c>
      <c r="G205" s="47">
        <v>1</v>
      </c>
      <c r="H205" s="95">
        <v>46136</v>
      </c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</row>
    <row r="206" spans="1:20" s="76" customFormat="1" ht="21.75" thickBot="1" x14ac:dyDescent="0.4">
      <c r="A206" s="48"/>
      <c r="B206" s="48"/>
      <c r="C206" s="49"/>
      <c r="D206" s="48"/>
      <c r="E206" s="48"/>
      <c r="F206" s="49"/>
      <c r="G206" s="49"/>
      <c r="H206" s="94"/>
      <c r="I206" s="49"/>
      <c r="J206" s="49"/>
      <c r="K206" s="49"/>
      <c r="L206" s="49"/>
      <c r="M206" s="49"/>
      <c r="N206" s="49"/>
      <c r="O206" s="49"/>
      <c r="P206" s="49"/>
      <c r="Q206" s="49"/>
      <c r="R206" s="49"/>
      <c r="S206" s="49"/>
      <c r="T206" s="49"/>
    </row>
    <row r="207" spans="1:20" x14ac:dyDescent="0.35">
      <c r="A207" s="46" t="s">
        <v>11</v>
      </c>
      <c r="B207" s="46" t="s">
        <v>163</v>
      </c>
      <c r="C207" s="54">
        <v>4921</v>
      </c>
      <c r="D207" s="46" t="s">
        <v>76</v>
      </c>
      <c r="E207" s="46" t="s">
        <v>150</v>
      </c>
      <c r="F207" s="47" t="s">
        <v>450</v>
      </c>
      <c r="G207" s="47">
        <v>1</v>
      </c>
      <c r="H207" s="95">
        <v>46139</v>
      </c>
      <c r="I207" s="47"/>
      <c r="J207" s="47"/>
      <c r="K207" s="47">
        <v>0.5</v>
      </c>
      <c r="L207" s="47"/>
      <c r="M207" s="47"/>
      <c r="N207" s="47">
        <v>0.5</v>
      </c>
      <c r="O207" s="47"/>
      <c r="P207" s="47"/>
      <c r="Q207" s="47"/>
      <c r="R207" s="47"/>
      <c r="S207" s="47"/>
      <c r="T207" s="47"/>
    </row>
    <row r="208" spans="1:20" x14ac:dyDescent="0.35">
      <c r="A208" s="21"/>
      <c r="B208" s="21"/>
      <c r="C208" s="17"/>
      <c r="D208" s="21" t="s">
        <v>77</v>
      </c>
      <c r="E208" s="21" t="s">
        <v>20</v>
      </c>
      <c r="F208" s="17"/>
      <c r="G208" s="17">
        <v>1</v>
      </c>
      <c r="H208" s="93"/>
    </row>
    <row r="209" spans="1:20" x14ac:dyDescent="0.35">
      <c r="A209" s="21"/>
      <c r="B209" s="21"/>
      <c r="C209" s="17"/>
      <c r="D209" s="21" t="s">
        <v>91</v>
      </c>
      <c r="E209" s="21" t="s">
        <v>27</v>
      </c>
      <c r="F209" s="17"/>
      <c r="G209" s="17">
        <v>1</v>
      </c>
      <c r="H209" s="93"/>
    </row>
    <row r="210" spans="1:20" x14ac:dyDescent="0.35">
      <c r="A210" s="21"/>
      <c r="B210" s="21"/>
      <c r="C210" s="17"/>
      <c r="D210" s="21" t="s">
        <v>105</v>
      </c>
      <c r="E210" s="21" t="s">
        <v>67</v>
      </c>
      <c r="F210" s="17"/>
      <c r="G210" s="17">
        <v>1</v>
      </c>
      <c r="H210" s="93"/>
    </row>
    <row r="211" spans="1:20" x14ac:dyDescent="0.35">
      <c r="A211" s="21"/>
      <c r="B211" s="21"/>
      <c r="C211" s="17"/>
      <c r="D211" s="21" t="s">
        <v>282</v>
      </c>
      <c r="E211" s="21" t="s">
        <v>283</v>
      </c>
      <c r="F211" s="17"/>
      <c r="G211" s="17">
        <v>1</v>
      </c>
      <c r="H211" s="93"/>
    </row>
    <row r="212" spans="1:20" x14ac:dyDescent="0.35">
      <c r="A212" s="21"/>
      <c r="B212" s="21"/>
      <c r="C212" s="17"/>
      <c r="D212" s="21" t="s">
        <v>143</v>
      </c>
      <c r="E212" s="21" t="s">
        <v>287</v>
      </c>
      <c r="F212" s="17"/>
      <c r="G212" s="17">
        <v>1</v>
      </c>
      <c r="H212" s="93"/>
      <c r="K212" s="17">
        <v>1.5</v>
      </c>
      <c r="N212" s="17">
        <v>1.5</v>
      </c>
    </row>
    <row r="213" spans="1:20" x14ac:dyDescent="0.35">
      <c r="A213" s="21"/>
      <c r="B213" s="21"/>
      <c r="C213" s="17"/>
      <c r="D213" s="21" t="s">
        <v>87</v>
      </c>
      <c r="E213" s="21" t="s">
        <v>449</v>
      </c>
      <c r="F213" s="17"/>
      <c r="G213" s="17">
        <v>1</v>
      </c>
      <c r="H213" s="93"/>
      <c r="K213" s="17">
        <v>0.5</v>
      </c>
      <c r="N213" s="17">
        <v>0.5</v>
      </c>
    </row>
    <row r="214" spans="1:20" x14ac:dyDescent="0.35">
      <c r="A214" s="21"/>
      <c r="B214" s="21"/>
      <c r="C214" s="17"/>
      <c r="D214" s="21" t="s">
        <v>88</v>
      </c>
      <c r="E214" s="21" t="s">
        <v>352</v>
      </c>
      <c r="F214" s="17"/>
      <c r="G214" s="17">
        <v>1</v>
      </c>
      <c r="H214" s="93"/>
      <c r="K214" s="17">
        <v>0.5</v>
      </c>
      <c r="N214" s="17">
        <v>0.5</v>
      </c>
    </row>
    <row r="215" spans="1:20" x14ac:dyDescent="0.35">
      <c r="A215" s="21"/>
      <c r="B215" s="21"/>
      <c r="C215" s="17"/>
      <c r="D215" s="21" t="s">
        <v>81</v>
      </c>
      <c r="E215" s="21" t="s">
        <v>275</v>
      </c>
      <c r="F215" s="17"/>
      <c r="G215" s="17">
        <v>1</v>
      </c>
      <c r="H215" s="93"/>
      <c r="K215" s="17">
        <v>0.5</v>
      </c>
      <c r="N215" s="17">
        <v>0.5</v>
      </c>
    </row>
    <row r="216" spans="1:20" s="76" customFormat="1" ht="21.75" thickBot="1" x14ac:dyDescent="0.4">
      <c r="A216" s="48"/>
      <c r="B216" s="48"/>
      <c r="C216" s="49"/>
      <c r="D216" s="48"/>
      <c r="E216" s="48"/>
      <c r="F216" s="49"/>
      <c r="G216" s="49"/>
      <c r="H216" s="94"/>
      <c r="I216" s="49"/>
      <c r="J216" s="49"/>
      <c r="K216" s="49"/>
      <c r="L216" s="49"/>
      <c r="M216" s="49"/>
      <c r="N216" s="49"/>
      <c r="O216" s="49"/>
      <c r="P216" s="49"/>
      <c r="Q216" s="49"/>
      <c r="R216" s="49"/>
      <c r="S216" s="49"/>
      <c r="T216" s="49"/>
    </row>
    <row r="217" spans="1:20" x14ac:dyDescent="0.35">
      <c r="A217" s="46" t="s">
        <v>11</v>
      </c>
      <c r="B217" s="46" t="s">
        <v>163</v>
      </c>
      <c r="C217" s="54">
        <v>4922</v>
      </c>
      <c r="D217" s="46" t="s">
        <v>76</v>
      </c>
      <c r="E217" s="46" t="s">
        <v>150</v>
      </c>
      <c r="F217" s="47" t="s">
        <v>280</v>
      </c>
      <c r="G217" s="47">
        <v>3</v>
      </c>
      <c r="H217" s="95">
        <v>46139</v>
      </c>
      <c r="I217" s="47"/>
      <c r="J217" s="47"/>
      <c r="K217" s="47">
        <v>1.5</v>
      </c>
      <c r="L217" s="47"/>
      <c r="M217" s="47"/>
      <c r="N217" s="47">
        <v>1.5</v>
      </c>
      <c r="O217" s="47"/>
      <c r="P217" s="47"/>
      <c r="Q217" s="47"/>
      <c r="R217" s="47"/>
      <c r="S217" s="47"/>
      <c r="T217" s="47"/>
    </row>
    <row r="218" spans="1:20" x14ac:dyDescent="0.35">
      <c r="A218" s="21"/>
      <c r="B218" s="21"/>
      <c r="C218" s="47"/>
      <c r="D218" s="21" t="s">
        <v>106</v>
      </c>
      <c r="E218" s="21" t="s">
        <v>69</v>
      </c>
      <c r="F218" s="17"/>
      <c r="G218" s="17">
        <v>3</v>
      </c>
      <c r="H218" s="93"/>
      <c r="K218" s="17">
        <v>1.5</v>
      </c>
      <c r="N218" s="17">
        <v>1.5</v>
      </c>
    </row>
    <row r="219" spans="1:20" x14ac:dyDescent="0.35">
      <c r="A219" s="21"/>
      <c r="B219" s="21"/>
      <c r="C219" s="17"/>
      <c r="D219" s="21" t="s">
        <v>77</v>
      </c>
      <c r="E219" s="21" t="s">
        <v>20</v>
      </c>
      <c r="F219" s="17"/>
      <c r="G219" s="17">
        <v>3</v>
      </c>
      <c r="H219" s="93"/>
    </row>
    <row r="220" spans="1:20" x14ac:dyDescent="0.35">
      <c r="A220" s="21"/>
      <c r="B220" s="21"/>
      <c r="C220" s="17"/>
      <c r="D220" s="21" t="s">
        <v>83</v>
      </c>
      <c r="E220" s="21" t="s">
        <v>12</v>
      </c>
      <c r="F220" s="17"/>
      <c r="G220" s="17">
        <v>3</v>
      </c>
      <c r="H220" s="93"/>
    </row>
    <row r="221" spans="1:20" x14ac:dyDescent="0.35">
      <c r="A221" s="21"/>
      <c r="B221" s="21"/>
      <c r="C221" s="17"/>
      <c r="D221" s="21" t="s">
        <v>84</v>
      </c>
      <c r="E221" s="21" t="s">
        <v>13</v>
      </c>
      <c r="F221" s="17"/>
      <c r="G221" s="17">
        <v>3</v>
      </c>
      <c r="H221" s="93"/>
    </row>
    <row r="222" spans="1:20" x14ac:dyDescent="0.35">
      <c r="A222" s="21"/>
      <c r="B222" s="21"/>
      <c r="C222" s="17"/>
      <c r="D222" s="21" t="s">
        <v>93</v>
      </c>
      <c r="E222" s="21" t="s">
        <v>14</v>
      </c>
      <c r="F222" s="17"/>
      <c r="G222" s="17">
        <v>3</v>
      </c>
      <c r="H222" s="93"/>
      <c r="K222" s="17">
        <v>1.5</v>
      </c>
      <c r="N222" s="17">
        <v>1.5</v>
      </c>
    </row>
    <row r="223" spans="1:20" x14ac:dyDescent="0.35">
      <c r="A223" s="21"/>
      <c r="B223" s="21"/>
      <c r="C223" s="17"/>
      <c r="D223" s="21" t="s">
        <v>320</v>
      </c>
      <c r="E223" s="21" t="s">
        <v>321</v>
      </c>
      <c r="F223" s="17"/>
      <c r="G223" s="17">
        <v>3</v>
      </c>
      <c r="H223" s="93"/>
    </row>
    <row r="224" spans="1:20" x14ac:dyDescent="0.35">
      <c r="A224" s="21"/>
      <c r="B224" s="21"/>
      <c r="C224" s="17"/>
      <c r="D224" s="21" t="s">
        <v>79</v>
      </c>
      <c r="E224" s="21" t="s">
        <v>451</v>
      </c>
      <c r="F224" s="17"/>
      <c r="G224" s="17">
        <v>6</v>
      </c>
      <c r="H224" s="93"/>
      <c r="K224" s="17">
        <v>3</v>
      </c>
      <c r="N224" s="17">
        <v>3</v>
      </c>
    </row>
    <row r="225" spans="1:20" x14ac:dyDescent="0.35">
      <c r="A225" s="21"/>
      <c r="B225" s="21"/>
      <c r="C225" s="17"/>
      <c r="D225" s="21" t="s">
        <v>81</v>
      </c>
      <c r="E225" s="21" t="s">
        <v>371</v>
      </c>
      <c r="F225" s="17"/>
      <c r="G225" s="17">
        <v>3</v>
      </c>
      <c r="H225" s="93"/>
      <c r="K225" s="17">
        <v>1.5</v>
      </c>
      <c r="N225" s="17">
        <v>1.5</v>
      </c>
    </row>
    <row r="226" spans="1:20" x14ac:dyDescent="0.35">
      <c r="A226" s="21"/>
      <c r="B226" s="21"/>
      <c r="C226" s="17"/>
      <c r="D226" s="21" t="s">
        <v>127</v>
      </c>
      <c r="E226" s="21" t="s">
        <v>128</v>
      </c>
      <c r="F226" s="17"/>
      <c r="G226" s="17">
        <v>3</v>
      </c>
      <c r="H226" s="93"/>
    </row>
    <row r="227" spans="1:20" s="76" customFormat="1" ht="21.75" thickBot="1" x14ac:dyDescent="0.4">
      <c r="A227" s="48"/>
      <c r="B227" s="48"/>
      <c r="C227" s="49"/>
      <c r="D227" s="48"/>
      <c r="E227" s="48"/>
      <c r="F227" s="49"/>
      <c r="G227" s="49"/>
      <c r="H227" s="94"/>
      <c r="I227" s="49"/>
      <c r="J227" s="49"/>
      <c r="K227" s="49"/>
      <c r="L227" s="49"/>
      <c r="M227" s="49"/>
      <c r="N227" s="49"/>
      <c r="O227" s="49"/>
      <c r="P227" s="49"/>
      <c r="Q227" s="49"/>
      <c r="R227" s="49"/>
      <c r="S227" s="49"/>
      <c r="T227" s="49"/>
    </row>
    <row r="228" spans="1:20" x14ac:dyDescent="0.35">
      <c r="A228" s="46" t="s">
        <v>52</v>
      </c>
      <c r="B228" s="46" t="s">
        <v>226</v>
      </c>
      <c r="C228" s="53">
        <v>4923</v>
      </c>
      <c r="D228" s="46" t="s">
        <v>76</v>
      </c>
      <c r="E228" s="46" t="s">
        <v>150</v>
      </c>
      <c r="F228" s="47" t="s">
        <v>452</v>
      </c>
      <c r="G228" s="47">
        <v>1</v>
      </c>
      <c r="H228" s="95">
        <v>46139</v>
      </c>
      <c r="I228" s="47"/>
      <c r="J228" s="47"/>
      <c r="K228" s="47"/>
      <c r="L228" s="47"/>
      <c r="M228" s="47">
        <v>0.5</v>
      </c>
      <c r="N228" s="47"/>
      <c r="O228" s="47"/>
      <c r="P228" s="47"/>
      <c r="Q228" s="47"/>
      <c r="R228" s="47"/>
      <c r="S228" s="47"/>
      <c r="T228" s="47"/>
    </row>
    <row r="229" spans="1:20" x14ac:dyDescent="0.35">
      <c r="A229" s="21"/>
      <c r="B229" s="21"/>
      <c r="C229" s="17"/>
      <c r="D229" s="21" t="s">
        <v>103</v>
      </c>
      <c r="E229" s="21" t="s">
        <v>70</v>
      </c>
      <c r="F229" s="17"/>
      <c r="G229" s="17">
        <v>1</v>
      </c>
      <c r="H229" s="93"/>
      <c r="M229" s="17">
        <v>1</v>
      </c>
    </row>
    <row r="230" spans="1:20" x14ac:dyDescent="0.35">
      <c r="A230" s="21"/>
      <c r="B230" s="21"/>
      <c r="C230" s="17"/>
      <c r="D230" s="21" t="s">
        <v>77</v>
      </c>
      <c r="E230" s="21" t="s">
        <v>20</v>
      </c>
      <c r="F230" s="17"/>
      <c r="G230" s="17">
        <v>1</v>
      </c>
      <c r="H230" s="93"/>
    </row>
    <row r="231" spans="1:20" x14ac:dyDescent="0.35">
      <c r="A231" s="21"/>
      <c r="B231" s="21"/>
      <c r="C231" s="17"/>
      <c r="D231" s="21" t="s">
        <v>93</v>
      </c>
      <c r="E231" s="21" t="s">
        <v>14</v>
      </c>
      <c r="F231" s="17"/>
      <c r="G231" s="17">
        <v>1</v>
      </c>
      <c r="H231" s="93"/>
      <c r="M231" s="17">
        <v>1</v>
      </c>
    </row>
    <row r="232" spans="1:20" x14ac:dyDescent="0.35">
      <c r="A232" s="21"/>
      <c r="B232" s="21"/>
      <c r="C232" s="17"/>
      <c r="D232" s="21" t="s">
        <v>87</v>
      </c>
      <c r="E232" s="21" t="s">
        <v>21</v>
      </c>
      <c r="F232" s="17"/>
      <c r="G232" s="17">
        <v>1</v>
      </c>
      <c r="H232" s="93"/>
      <c r="I232" s="17">
        <v>2</v>
      </c>
    </row>
    <row r="233" spans="1:20" x14ac:dyDescent="0.35">
      <c r="A233" s="21"/>
      <c r="B233" s="21"/>
      <c r="C233" s="17"/>
      <c r="D233" s="21" t="s">
        <v>123</v>
      </c>
      <c r="E233" s="21" t="s">
        <v>25</v>
      </c>
      <c r="F233" s="17"/>
      <c r="G233" s="17">
        <v>1</v>
      </c>
      <c r="H233" s="93"/>
      <c r="I233" s="17">
        <v>2</v>
      </c>
    </row>
    <row r="234" spans="1:20" x14ac:dyDescent="0.35">
      <c r="A234" s="21"/>
      <c r="B234" s="21"/>
      <c r="C234" s="17"/>
      <c r="D234" s="21" t="s">
        <v>79</v>
      </c>
      <c r="E234" s="21" t="s">
        <v>73</v>
      </c>
      <c r="F234" s="17"/>
      <c r="G234" s="17">
        <v>1</v>
      </c>
      <c r="H234" s="93"/>
      <c r="I234" s="17">
        <v>2</v>
      </c>
    </row>
    <row r="235" spans="1:20" x14ac:dyDescent="0.35">
      <c r="A235" s="21"/>
      <c r="B235" s="21"/>
      <c r="C235" s="17"/>
      <c r="D235" s="21" t="s">
        <v>75</v>
      </c>
      <c r="E235" s="21" t="s">
        <v>55</v>
      </c>
      <c r="F235" s="17"/>
      <c r="G235" s="17">
        <v>1</v>
      </c>
      <c r="H235" s="93"/>
      <c r="I235" s="17">
        <v>2</v>
      </c>
    </row>
    <row r="236" spans="1:20" x14ac:dyDescent="0.35">
      <c r="A236" s="21"/>
      <c r="B236" s="21"/>
      <c r="C236" s="17"/>
      <c r="D236" s="21" t="s">
        <v>81</v>
      </c>
      <c r="E236" s="21" t="s">
        <v>15</v>
      </c>
      <c r="F236" s="17"/>
      <c r="G236" s="17">
        <v>1</v>
      </c>
      <c r="H236" s="93"/>
      <c r="I236" s="17">
        <v>1</v>
      </c>
    </row>
    <row r="237" spans="1:20" x14ac:dyDescent="0.35">
      <c r="A237" s="21"/>
      <c r="B237" s="21"/>
      <c r="C237" s="17"/>
      <c r="D237" s="21" t="s">
        <v>278</v>
      </c>
      <c r="E237" s="21" t="s">
        <v>279</v>
      </c>
      <c r="F237" s="17"/>
      <c r="G237" s="17">
        <v>24</v>
      </c>
      <c r="H237" s="93"/>
    </row>
    <row r="238" spans="1:20" s="76" customFormat="1" ht="21.75" thickBot="1" x14ac:dyDescent="0.4">
      <c r="A238" s="48"/>
      <c r="B238" s="48"/>
      <c r="C238" s="49"/>
      <c r="D238" s="48"/>
      <c r="E238" s="48"/>
      <c r="F238" s="49"/>
      <c r="G238" s="49"/>
      <c r="H238" s="94"/>
      <c r="I238" s="49"/>
      <c r="J238" s="49"/>
      <c r="K238" s="49"/>
      <c r="L238" s="49"/>
      <c r="M238" s="49"/>
      <c r="N238" s="49"/>
      <c r="O238" s="49"/>
      <c r="P238" s="49"/>
      <c r="Q238" s="49"/>
      <c r="R238" s="49"/>
      <c r="S238" s="49"/>
      <c r="T238" s="49"/>
    </row>
    <row r="239" spans="1:20" x14ac:dyDescent="0.35">
      <c r="A239" s="46" t="s">
        <v>11</v>
      </c>
      <c r="B239" s="46" t="s">
        <v>163</v>
      </c>
      <c r="C239" s="54">
        <v>4924</v>
      </c>
      <c r="D239" s="46" t="s">
        <v>76</v>
      </c>
      <c r="E239" s="46" t="s">
        <v>150</v>
      </c>
      <c r="F239" s="47" t="s">
        <v>280</v>
      </c>
      <c r="G239" s="47">
        <v>3</v>
      </c>
      <c r="H239" s="95">
        <v>46139</v>
      </c>
      <c r="I239" s="47"/>
      <c r="J239" s="47"/>
      <c r="K239" s="47">
        <v>1.5</v>
      </c>
      <c r="L239" s="47"/>
      <c r="M239" s="47"/>
      <c r="N239" s="47">
        <v>1.5</v>
      </c>
      <c r="O239" s="47"/>
      <c r="P239" s="47"/>
      <c r="Q239" s="47"/>
      <c r="R239" s="47"/>
      <c r="S239" s="47"/>
      <c r="T239" s="47"/>
    </row>
    <row r="240" spans="1:20" x14ac:dyDescent="0.35">
      <c r="A240" s="21"/>
      <c r="B240" s="21"/>
      <c r="C240" s="17"/>
      <c r="D240" s="21" t="s">
        <v>106</v>
      </c>
      <c r="E240" s="21" t="s">
        <v>69</v>
      </c>
      <c r="F240" s="17"/>
      <c r="G240" s="17">
        <v>3</v>
      </c>
      <c r="H240" s="93"/>
      <c r="K240" s="17">
        <v>1.5</v>
      </c>
      <c r="N240" s="17">
        <v>1.5</v>
      </c>
    </row>
    <row r="241" spans="1:20" x14ac:dyDescent="0.35">
      <c r="A241" s="21"/>
      <c r="B241" s="21"/>
      <c r="C241" s="17"/>
      <c r="D241" s="21" t="s">
        <v>77</v>
      </c>
      <c r="E241" s="21" t="s">
        <v>20</v>
      </c>
      <c r="F241" s="17"/>
      <c r="G241" s="17">
        <v>3</v>
      </c>
      <c r="H241" s="93"/>
    </row>
    <row r="242" spans="1:20" x14ac:dyDescent="0.35">
      <c r="A242" s="21"/>
      <c r="B242" s="21"/>
      <c r="C242" s="17"/>
      <c r="D242" s="21" t="s">
        <v>101</v>
      </c>
      <c r="E242" s="21" t="s">
        <v>102</v>
      </c>
      <c r="F242" s="17"/>
      <c r="G242" s="17">
        <v>3</v>
      </c>
      <c r="H242" s="93"/>
      <c r="K242" s="17">
        <v>1.5</v>
      </c>
      <c r="N242" s="17">
        <v>1.5</v>
      </c>
    </row>
    <row r="243" spans="1:20" x14ac:dyDescent="0.35">
      <c r="A243" s="21"/>
      <c r="B243" s="21"/>
      <c r="C243" s="17"/>
      <c r="D243" s="21" t="s">
        <v>92</v>
      </c>
      <c r="E243" s="21" t="s">
        <v>51</v>
      </c>
      <c r="F243" s="17"/>
      <c r="G243" s="17">
        <v>3</v>
      </c>
      <c r="H243" s="93"/>
    </row>
    <row r="244" spans="1:20" x14ac:dyDescent="0.35">
      <c r="A244" s="21"/>
      <c r="B244" s="21"/>
      <c r="C244" s="17"/>
      <c r="D244" s="21" t="s">
        <v>91</v>
      </c>
      <c r="E244" s="21" t="s">
        <v>27</v>
      </c>
      <c r="F244" s="17"/>
      <c r="G244" s="17">
        <v>3</v>
      </c>
      <c r="H244" s="93"/>
    </row>
    <row r="245" spans="1:20" x14ac:dyDescent="0.35">
      <c r="A245" s="21"/>
      <c r="B245" s="21"/>
      <c r="C245" s="17"/>
      <c r="D245" s="21" t="s">
        <v>93</v>
      </c>
      <c r="E245" s="21" t="s">
        <v>14</v>
      </c>
      <c r="F245" s="17"/>
      <c r="G245" s="17">
        <v>3</v>
      </c>
      <c r="H245" s="93"/>
      <c r="K245" s="17">
        <v>1.5</v>
      </c>
      <c r="N245" s="17">
        <v>1.5</v>
      </c>
    </row>
    <row r="246" spans="1:20" x14ac:dyDescent="0.35">
      <c r="A246" s="21"/>
      <c r="B246" s="21"/>
      <c r="C246" s="17"/>
      <c r="D246" s="21" t="s">
        <v>88</v>
      </c>
      <c r="E246" s="21" t="s">
        <v>352</v>
      </c>
      <c r="F246" s="17"/>
      <c r="G246" s="17">
        <v>3</v>
      </c>
      <c r="H246" s="93"/>
      <c r="K246" s="17">
        <v>1.5</v>
      </c>
      <c r="N246" s="17">
        <v>1.5</v>
      </c>
    </row>
    <row r="247" spans="1:20" x14ac:dyDescent="0.35">
      <c r="A247" s="21"/>
      <c r="B247" s="21"/>
      <c r="C247" s="17"/>
      <c r="D247" s="21" t="s">
        <v>85</v>
      </c>
      <c r="E247" s="21" t="s">
        <v>261</v>
      </c>
      <c r="F247" s="17"/>
      <c r="G247" s="17">
        <v>3</v>
      </c>
      <c r="H247" s="93"/>
      <c r="K247" s="17">
        <v>1.5</v>
      </c>
      <c r="N247" s="17">
        <v>1.5</v>
      </c>
    </row>
    <row r="248" spans="1:20" x14ac:dyDescent="0.35">
      <c r="A248" s="21"/>
      <c r="B248" s="21"/>
      <c r="C248" s="17"/>
      <c r="D248" s="21" t="s">
        <v>453</v>
      </c>
      <c r="E248" s="21" t="s">
        <v>454</v>
      </c>
      <c r="F248" s="17"/>
      <c r="G248" s="17">
        <v>3</v>
      </c>
      <c r="H248" s="93"/>
      <c r="K248" s="17">
        <v>1.5</v>
      </c>
      <c r="N248" s="17">
        <v>1.5</v>
      </c>
    </row>
    <row r="249" spans="1:20" x14ac:dyDescent="0.35">
      <c r="A249" s="21"/>
      <c r="B249" s="21"/>
      <c r="C249" s="17"/>
      <c r="D249" s="21" t="s">
        <v>170</v>
      </c>
      <c r="E249" s="21" t="s">
        <v>171</v>
      </c>
      <c r="F249" s="17"/>
      <c r="G249" s="17">
        <v>3</v>
      </c>
      <c r="H249" s="93"/>
    </row>
    <row r="250" spans="1:20" s="76" customFormat="1" ht="21.75" thickBot="1" x14ac:dyDescent="0.4">
      <c r="A250" s="48"/>
      <c r="B250" s="48"/>
      <c r="C250" s="49"/>
      <c r="D250" s="48"/>
      <c r="E250" s="48"/>
      <c r="F250" s="49"/>
      <c r="G250" s="49"/>
      <c r="H250" s="94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49"/>
    </row>
    <row r="251" spans="1:20" x14ac:dyDescent="0.35">
      <c r="A251" s="46" t="s">
        <v>74</v>
      </c>
      <c r="B251" s="46" t="s">
        <v>226</v>
      </c>
      <c r="C251" s="54">
        <v>4925</v>
      </c>
      <c r="D251" s="46" t="s">
        <v>76</v>
      </c>
      <c r="E251" s="46" t="s">
        <v>150</v>
      </c>
      <c r="F251" s="19" t="s">
        <v>28</v>
      </c>
      <c r="G251" s="47">
        <v>6</v>
      </c>
      <c r="H251" s="95">
        <v>46139</v>
      </c>
      <c r="I251" s="47"/>
      <c r="J251" s="47"/>
      <c r="K251" s="47"/>
      <c r="L251" s="47"/>
      <c r="M251" s="47"/>
      <c r="N251" s="47"/>
      <c r="O251" s="47">
        <v>1.5</v>
      </c>
      <c r="P251" s="47">
        <v>1.5</v>
      </c>
      <c r="Q251" s="47"/>
      <c r="R251" s="47"/>
      <c r="S251" s="47"/>
      <c r="T251" s="47"/>
    </row>
    <row r="252" spans="1:20" x14ac:dyDescent="0.35">
      <c r="A252" s="21"/>
      <c r="B252" s="21"/>
      <c r="C252" s="17"/>
      <c r="D252" s="21" t="s">
        <v>80</v>
      </c>
      <c r="E252" s="21" t="s">
        <v>19</v>
      </c>
      <c r="F252" s="17"/>
      <c r="G252" s="17">
        <v>6</v>
      </c>
      <c r="H252" s="93"/>
      <c r="O252" s="17">
        <v>3</v>
      </c>
      <c r="P252" s="17">
        <v>3</v>
      </c>
    </row>
    <row r="253" spans="1:20" x14ac:dyDescent="0.35">
      <c r="A253" s="21"/>
      <c r="B253" s="21"/>
      <c r="C253" s="17"/>
      <c r="D253" s="21" t="s">
        <v>77</v>
      </c>
      <c r="E253" s="21" t="s">
        <v>455</v>
      </c>
      <c r="F253" s="17"/>
      <c r="G253" s="17">
        <v>6</v>
      </c>
      <c r="H253" s="93"/>
    </row>
    <row r="254" spans="1:20" x14ac:dyDescent="0.35">
      <c r="A254" s="21"/>
      <c r="B254" s="21"/>
      <c r="C254" s="17"/>
      <c r="D254" s="21" t="s">
        <v>78</v>
      </c>
      <c r="E254" s="21" t="s">
        <v>16</v>
      </c>
      <c r="F254" s="17"/>
      <c r="G254" s="17">
        <v>6</v>
      </c>
      <c r="H254" s="93"/>
    </row>
    <row r="255" spans="1:20" x14ac:dyDescent="0.35">
      <c r="A255" s="21"/>
      <c r="B255" s="21"/>
      <c r="C255" s="17"/>
      <c r="D255" s="21" t="s">
        <v>93</v>
      </c>
      <c r="E255" s="21" t="s">
        <v>14</v>
      </c>
      <c r="F255" s="17"/>
      <c r="G255" s="17">
        <v>6</v>
      </c>
      <c r="H255" s="93"/>
      <c r="L255" s="17">
        <v>2</v>
      </c>
      <c r="O255" s="17">
        <v>2</v>
      </c>
      <c r="P255" s="17">
        <v>2</v>
      </c>
    </row>
    <row r="256" spans="1:20" x14ac:dyDescent="0.35">
      <c r="A256" s="21"/>
      <c r="B256" s="21"/>
      <c r="C256" s="17"/>
      <c r="D256" s="21" t="s">
        <v>129</v>
      </c>
      <c r="E256" s="21" t="s">
        <v>130</v>
      </c>
      <c r="F256" s="17"/>
      <c r="G256" s="17">
        <v>6</v>
      </c>
      <c r="H256" s="93"/>
      <c r="L256" s="17">
        <v>6</v>
      </c>
    </row>
    <row r="257" spans="1:20" x14ac:dyDescent="0.35">
      <c r="A257" s="21"/>
      <c r="B257" s="21"/>
      <c r="C257" s="17"/>
      <c r="D257" s="21" t="s">
        <v>87</v>
      </c>
      <c r="E257" s="21" t="s">
        <v>21</v>
      </c>
      <c r="F257" s="17"/>
      <c r="G257" s="17">
        <v>6</v>
      </c>
      <c r="H257" s="93"/>
      <c r="L257" s="17">
        <v>6</v>
      </c>
    </row>
    <row r="258" spans="1:20" x14ac:dyDescent="0.35">
      <c r="A258" s="21"/>
      <c r="B258" s="21"/>
      <c r="C258" s="17"/>
      <c r="D258" s="21" t="s">
        <v>75</v>
      </c>
      <c r="E258" s="21" t="s">
        <v>55</v>
      </c>
      <c r="F258" s="17"/>
      <c r="G258" s="17">
        <v>6</v>
      </c>
      <c r="H258" s="93"/>
      <c r="L258" s="17">
        <v>6</v>
      </c>
    </row>
    <row r="259" spans="1:20" s="76" customFormat="1" ht="21.75" thickBot="1" x14ac:dyDescent="0.4">
      <c r="A259" s="48"/>
      <c r="B259" s="48"/>
      <c r="C259" s="49"/>
      <c r="D259" s="48"/>
      <c r="E259" s="48"/>
      <c r="F259" s="49"/>
      <c r="G259" s="49"/>
      <c r="H259" s="94"/>
      <c r="I259" s="49"/>
      <c r="J259" s="49"/>
      <c r="K259" s="49"/>
      <c r="L259" s="49"/>
      <c r="M259" s="49"/>
      <c r="N259" s="49"/>
      <c r="O259" s="49"/>
      <c r="P259" s="49"/>
      <c r="Q259" s="49"/>
      <c r="R259" s="49"/>
      <c r="S259" s="49"/>
      <c r="T259" s="49"/>
    </row>
    <row r="260" spans="1:20" x14ac:dyDescent="0.35">
      <c r="A260" s="46" t="s">
        <v>309</v>
      </c>
      <c r="B260" s="46" t="s">
        <v>319</v>
      </c>
      <c r="C260" s="54">
        <v>4926</v>
      </c>
      <c r="D260" s="46" t="s">
        <v>276</v>
      </c>
      <c r="E260" s="46" t="s">
        <v>277</v>
      </c>
      <c r="F260" s="47" t="s">
        <v>458</v>
      </c>
      <c r="G260" s="47">
        <v>1</v>
      </c>
      <c r="H260" s="95">
        <v>46140</v>
      </c>
      <c r="I260" s="47"/>
      <c r="J260" s="47"/>
      <c r="K260" s="47"/>
      <c r="L260" s="47">
        <v>1</v>
      </c>
      <c r="M260" s="47"/>
      <c r="N260" s="47"/>
      <c r="O260" s="47"/>
      <c r="P260" s="47"/>
      <c r="Q260" s="47"/>
      <c r="R260" s="47"/>
      <c r="S260" s="47"/>
      <c r="T260" s="47"/>
    </row>
    <row r="261" spans="1:20" x14ac:dyDescent="0.35">
      <c r="A261" s="21"/>
      <c r="B261" s="21"/>
      <c r="C261" s="17"/>
      <c r="D261" s="21" t="s">
        <v>456</v>
      </c>
      <c r="E261" s="21" t="s">
        <v>457</v>
      </c>
      <c r="F261" s="17"/>
      <c r="G261" s="17">
        <v>24</v>
      </c>
      <c r="H261" s="93"/>
    </row>
    <row r="262" spans="1:20" x14ac:dyDescent="0.35">
      <c r="A262" s="21"/>
      <c r="B262" s="21"/>
      <c r="C262" s="17"/>
      <c r="D262" s="21" t="s">
        <v>310</v>
      </c>
      <c r="E262" s="21" t="s">
        <v>311</v>
      </c>
      <c r="F262" s="17"/>
      <c r="G262" s="17">
        <v>1</v>
      </c>
      <c r="H262" s="93"/>
    </row>
    <row r="263" spans="1:20" x14ac:dyDescent="0.35">
      <c r="A263" s="21"/>
      <c r="B263" s="21"/>
      <c r="C263" s="17"/>
      <c r="D263" s="21" t="s">
        <v>312</v>
      </c>
      <c r="E263" s="21" t="s">
        <v>313</v>
      </c>
      <c r="F263" s="17"/>
      <c r="G263" s="17">
        <v>2</v>
      </c>
      <c r="H263" s="93"/>
    </row>
    <row r="264" spans="1:20" s="76" customFormat="1" ht="21.75" thickBot="1" x14ac:dyDescent="0.4">
      <c r="A264" s="48"/>
      <c r="B264" s="48"/>
      <c r="C264" s="49"/>
      <c r="D264" s="48"/>
      <c r="E264" s="48"/>
      <c r="F264" s="49"/>
      <c r="G264" s="49"/>
      <c r="H264" s="94"/>
      <c r="I264" s="49"/>
      <c r="J264" s="49"/>
      <c r="K264" s="49"/>
      <c r="L264" s="49"/>
      <c r="M264" s="49"/>
      <c r="N264" s="49"/>
      <c r="O264" s="49"/>
      <c r="P264" s="49"/>
      <c r="Q264" s="49"/>
      <c r="R264" s="49"/>
      <c r="S264" s="49"/>
      <c r="T264" s="49"/>
    </row>
    <row r="265" spans="1:20" x14ac:dyDescent="0.35">
      <c r="A265" s="46" t="s">
        <v>361</v>
      </c>
      <c r="B265" s="46"/>
      <c r="C265" s="47">
        <v>4927</v>
      </c>
      <c r="D265" s="46"/>
      <c r="E265" s="46" t="s">
        <v>459</v>
      </c>
      <c r="F265" s="82" t="s">
        <v>219</v>
      </c>
      <c r="G265" s="47">
        <v>20</v>
      </c>
      <c r="H265" s="95">
        <v>46140</v>
      </c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</row>
    <row r="266" spans="1:20" s="76" customFormat="1" ht="21.75" thickBot="1" x14ac:dyDescent="0.4">
      <c r="A266" s="48"/>
      <c r="B266" s="48"/>
      <c r="C266" s="49"/>
      <c r="D266" s="48"/>
      <c r="E266" s="48"/>
      <c r="F266" s="49"/>
      <c r="G266" s="49"/>
      <c r="H266" s="94"/>
      <c r="I266" s="49"/>
      <c r="J266" s="49"/>
      <c r="K266" s="49"/>
      <c r="L266" s="49"/>
      <c r="M266" s="49"/>
      <c r="N266" s="49"/>
      <c r="O266" s="49"/>
      <c r="P266" s="49"/>
      <c r="Q266" s="49"/>
      <c r="R266" s="49"/>
      <c r="S266" s="49"/>
      <c r="T266" s="49"/>
    </row>
    <row r="267" spans="1:20" x14ac:dyDescent="0.35">
      <c r="A267" s="46" t="s">
        <v>383</v>
      </c>
      <c r="B267" s="46"/>
      <c r="C267" s="47">
        <v>4928</v>
      </c>
      <c r="D267" s="46" t="s">
        <v>384</v>
      </c>
      <c r="E267" s="46" t="s">
        <v>385</v>
      </c>
      <c r="F267" s="82" t="s">
        <v>219</v>
      </c>
      <c r="G267" s="54">
        <v>10</v>
      </c>
      <c r="H267" s="95">
        <v>46140</v>
      </c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</row>
    <row r="268" spans="1:20" s="76" customFormat="1" ht="21.75" thickBot="1" x14ac:dyDescent="0.4">
      <c r="A268" s="48"/>
      <c r="B268" s="48"/>
      <c r="C268" s="49"/>
      <c r="D268" s="48"/>
      <c r="E268" s="48"/>
      <c r="F268" s="49"/>
      <c r="G268" s="49"/>
      <c r="H268" s="94"/>
      <c r="I268" s="49"/>
      <c r="J268" s="49"/>
      <c r="K268" s="49"/>
      <c r="L268" s="49"/>
      <c r="M268" s="49"/>
      <c r="N268" s="49"/>
      <c r="O268" s="49"/>
      <c r="P268" s="49"/>
      <c r="Q268" s="49"/>
      <c r="R268" s="49"/>
      <c r="S268" s="49"/>
      <c r="T268" s="49"/>
    </row>
    <row r="269" spans="1:20" x14ac:dyDescent="0.35">
      <c r="A269" s="46" t="s">
        <v>136</v>
      </c>
      <c r="B269" s="46" t="s">
        <v>223</v>
      </c>
      <c r="C269" s="54">
        <v>4929</v>
      </c>
      <c r="D269" s="46" t="s">
        <v>76</v>
      </c>
      <c r="E269" s="46" t="s">
        <v>150</v>
      </c>
      <c r="F269" s="47" t="s">
        <v>440</v>
      </c>
      <c r="G269" s="47">
        <v>8</v>
      </c>
      <c r="H269" s="95">
        <v>46140</v>
      </c>
      <c r="I269" s="47">
        <v>2</v>
      </c>
      <c r="J269" s="47"/>
      <c r="K269" s="47"/>
      <c r="L269" s="47"/>
      <c r="M269" s="47">
        <v>2</v>
      </c>
      <c r="N269" s="47"/>
      <c r="O269" s="47"/>
      <c r="P269" s="47"/>
      <c r="Q269" s="47"/>
      <c r="R269" s="47"/>
      <c r="S269" s="47"/>
      <c r="T269" s="47"/>
    </row>
    <row r="270" spans="1:20" x14ac:dyDescent="0.35">
      <c r="A270" s="21"/>
      <c r="B270" s="21"/>
      <c r="C270" s="17"/>
      <c r="D270" s="21" t="s">
        <v>106</v>
      </c>
      <c r="E270" s="21" t="s">
        <v>69</v>
      </c>
      <c r="F270" s="17"/>
      <c r="G270" s="17">
        <v>8</v>
      </c>
      <c r="H270" s="93"/>
      <c r="I270" s="17">
        <v>4</v>
      </c>
      <c r="M270" s="17">
        <v>4</v>
      </c>
    </row>
    <row r="271" spans="1:20" x14ac:dyDescent="0.35">
      <c r="A271" s="21"/>
      <c r="B271" s="21"/>
      <c r="C271" s="17"/>
      <c r="D271" s="21" t="s">
        <v>77</v>
      </c>
      <c r="E271" s="21" t="s">
        <v>20</v>
      </c>
      <c r="F271" s="17"/>
      <c r="G271" s="17">
        <v>8</v>
      </c>
      <c r="H271" s="93"/>
    </row>
    <row r="272" spans="1:20" x14ac:dyDescent="0.35">
      <c r="A272" s="21"/>
      <c r="B272" s="21"/>
      <c r="C272" s="17"/>
      <c r="D272" s="21" t="s">
        <v>93</v>
      </c>
      <c r="E272" s="21" t="s">
        <v>14</v>
      </c>
      <c r="F272" s="17"/>
      <c r="G272" s="17">
        <v>8</v>
      </c>
      <c r="H272" s="93"/>
      <c r="I272" s="17">
        <v>8</v>
      </c>
    </row>
    <row r="273" spans="1:20" x14ac:dyDescent="0.35">
      <c r="A273" s="21"/>
      <c r="B273" s="21"/>
      <c r="C273" s="17"/>
      <c r="D273" s="21" t="s">
        <v>87</v>
      </c>
      <c r="E273" s="21" t="s">
        <v>21</v>
      </c>
      <c r="F273" s="17"/>
      <c r="G273" s="17">
        <v>8</v>
      </c>
      <c r="H273" s="93"/>
      <c r="J273" s="17">
        <v>8</v>
      </c>
    </row>
    <row r="274" spans="1:20" x14ac:dyDescent="0.35">
      <c r="A274" s="21"/>
      <c r="B274" s="21"/>
      <c r="C274" s="17"/>
      <c r="D274" s="21" t="s">
        <v>75</v>
      </c>
      <c r="E274" s="21" t="s">
        <v>55</v>
      </c>
      <c r="F274" s="17"/>
      <c r="G274" s="17">
        <v>8</v>
      </c>
      <c r="H274" s="93"/>
      <c r="J274" s="17">
        <v>8</v>
      </c>
    </row>
    <row r="275" spans="1:20" x14ac:dyDescent="0.35">
      <c r="A275" s="21"/>
      <c r="B275" s="21"/>
      <c r="C275" s="17"/>
      <c r="D275" s="21" t="s">
        <v>96</v>
      </c>
      <c r="E275" s="21" t="s">
        <v>139</v>
      </c>
      <c r="F275" s="17"/>
      <c r="G275" s="17">
        <v>192</v>
      </c>
      <c r="H275" s="93"/>
    </row>
    <row r="276" spans="1:20" s="76" customFormat="1" ht="21.75" thickBot="1" x14ac:dyDescent="0.4">
      <c r="A276" s="48"/>
      <c r="B276" s="48"/>
      <c r="C276" s="49"/>
      <c r="D276" s="48"/>
      <c r="E276" s="48"/>
      <c r="F276" s="49"/>
      <c r="G276" s="49"/>
      <c r="H276" s="94"/>
      <c r="I276" s="49"/>
      <c r="J276" s="49"/>
      <c r="K276" s="49"/>
      <c r="L276" s="49"/>
      <c r="M276" s="49"/>
      <c r="N276" s="49"/>
      <c r="O276" s="49"/>
      <c r="P276" s="49"/>
      <c r="Q276" s="49"/>
      <c r="R276" s="49"/>
      <c r="S276" s="49"/>
      <c r="T276" s="49"/>
    </row>
    <row r="277" spans="1:20" x14ac:dyDescent="0.35">
      <c r="A277" s="46" t="s">
        <v>460</v>
      </c>
      <c r="B277" s="46" t="s">
        <v>220</v>
      </c>
      <c r="C277" s="47">
        <v>4930</v>
      </c>
      <c r="D277" s="46" t="s">
        <v>76</v>
      </c>
      <c r="E277" s="46" t="s">
        <v>150</v>
      </c>
      <c r="F277" s="82" t="s">
        <v>219</v>
      </c>
      <c r="G277" s="47">
        <v>5</v>
      </c>
      <c r="H277" s="95">
        <v>46141</v>
      </c>
      <c r="I277" s="47"/>
      <c r="J277" s="47"/>
      <c r="K277" s="47"/>
      <c r="L277" s="47"/>
      <c r="M277" s="47"/>
      <c r="N277" s="47"/>
      <c r="O277" s="47"/>
      <c r="P277" s="47"/>
      <c r="Q277" s="47"/>
      <c r="R277" s="47"/>
      <c r="S277" s="47"/>
      <c r="T277" s="47"/>
    </row>
    <row r="278" spans="1:20" s="76" customFormat="1" ht="21.75" thickBot="1" x14ac:dyDescent="0.4">
      <c r="A278" s="48"/>
      <c r="B278" s="48"/>
      <c r="C278" s="49"/>
      <c r="D278" s="48"/>
      <c r="E278" s="48"/>
      <c r="F278" s="49"/>
      <c r="G278" s="49"/>
      <c r="H278" s="94"/>
      <c r="I278" s="49"/>
      <c r="J278" s="49"/>
      <c r="K278" s="49"/>
      <c r="L278" s="49"/>
      <c r="M278" s="49"/>
      <c r="N278" s="49"/>
      <c r="O278" s="49"/>
      <c r="P278" s="49"/>
      <c r="Q278" s="49"/>
      <c r="R278" s="49"/>
      <c r="S278" s="49"/>
      <c r="T278" s="49"/>
    </row>
    <row r="279" spans="1:20" x14ac:dyDescent="0.35">
      <c r="A279" s="46" t="s">
        <v>74</v>
      </c>
      <c r="B279" s="46" t="s">
        <v>226</v>
      </c>
      <c r="C279" s="47">
        <v>4931</v>
      </c>
      <c r="D279" s="46" t="s">
        <v>76</v>
      </c>
      <c r="E279" s="46" t="s">
        <v>150</v>
      </c>
      <c r="F279" s="47" t="s">
        <v>347</v>
      </c>
      <c r="G279" s="47">
        <v>1</v>
      </c>
      <c r="H279" s="95">
        <v>46141</v>
      </c>
      <c r="I279" s="47"/>
      <c r="J279" s="47"/>
      <c r="K279" s="47"/>
      <c r="L279" s="47"/>
      <c r="M279" s="47"/>
      <c r="N279" s="47">
        <v>0.5</v>
      </c>
      <c r="O279" s="47"/>
      <c r="P279" s="47"/>
      <c r="Q279" s="47"/>
      <c r="R279" s="47"/>
      <c r="S279" s="47"/>
      <c r="T279" s="47"/>
    </row>
    <row r="280" spans="1:20" x14ac:dyDescent="0.35">
      <c r="A280" s="21"/>
      <c r="B280" s="21"/>
      <c r="C280" s="17"/>
      <c r="D280" s="21" t="s">
        <v>103</v>
      </c>
      <c r="E280" s="21" t="s">
        <v>70</v>
      </c>
      <c r="F280" s="17"/>
      <c r="G280" s="17">
        <v>1</v>
      </c>
      <c r="H280" s="93"/>
      <c r="N280" s="17">
        <v>1</v>
      </c>
    </row>
    <row r="281" spans="1:20" x14ac:dyDescent="0.35">
      <c r="A281" s="21"/>
      <c r="B281" s="21"/>
      <c r="C281" s="17"/>
      <c r="D281" s="21" t="s">
        <v>77</v>
      </c>
      <c r="E281" s="21" t="s">
        <v>20</v>
      </c>
      <c r="F281" s="17"/>
      <c r="G281" s="17">
        <v>1</v>
      </c>
      <c r="H281" s="93"/>
    </row>
    <row r="282" spans="1:20" x14ac:dyDescent="0.35">
      <c r="A282" s="21"/>
      <c r="B282" s="21"/>
      <c r="C282" s="17"/>
      <c r="D282" s="21" t="s">
        <v>93</v>
      </c>
      <c r="E282" s="21" t="s">
        <v>14</v>
      </c>
      <c r="F282" s="17"/>
      <c r="G282" s="17">
        <v>1</v>
      </c>
      <c r="H282" s="93"/>
      <c r="N282" s="17">
        <v>1</v>
      </c>
    </row>
    <row r="283" spans="1:20" x14ac:dyDescent="0.35">
      <c r="A283" s="21"/>
      <c r="B283" s="21"/>
      <c r="C283" s="17"/>
      <c r="D283" s="21" t="s">
        <v>87</v>
      </c>
      <c r="E283" s="21" t="s">
        <v>21</v>
      </c>
      <c r="F283" s="17"/>
      <c r="G283" s="17">
        <v>1</v>
      </c>
      <c r="H283" s="93"/>
      <c r="J283" s="17">
        <v>1</v>
      </c>
    </row>
    <row r="284" spans="1:20" x14ac:dyDescent="0.35">
      <c r="A284" s="21"/>
      <c r="B284" s="21"/>
      <c r="C284" s="17"/>
      <c r="D284" s="21" t="s">
        <v>123</v>
      </c>
      <c r="E284" s="21" t="s">
        <v>25</v>
      </c>
      <c r="F284" s="17"/>
      <c r="G284" s="17">
        <v>1</v>
      </c>
      <c r="H284" s="93"/>
      <c r="J284" s="17">
        <v>1</v>
      </c>
    </row>
    <row r="285" spans="1:20" x14ac:dyDescent="0.35">
      <c r="A285" s="21"/>
      <c r="B285" s="21"/>
      <c r="C285" s="17"/>
      <c r="D285" s="21" t="s">
        <v>79</v>
      </c>
      <c r="E285" s="21" t="s">
        <v>73</v>
      </c>
      <c r="F285" s="17"/>
      <c r="G285" s="17">
        <v>1</v>
      </c>
      <c r="H285" s="93"/>
      <c r="J285" s="17">
        <v>1</v>
      </c>
    </row>
    <row r="286" spans="1:20" x14ac:dyDescent="0.35">
      <c r="A286" s="21"/>
      <c r="B286" s="21"/>
      <c r="C286" s="17"/>
      <c r="D286" s="21" t="s">
        <v>75</v>
      </c>
      <c r="E286" s="21" t="s">
        <v>55</v>
      </c>
      <c r="F286" s="17"/>
      <c r="G286" s="17">
        <v>1</v>
      </c>
      <c r="H286" s="93"/>
      <c r="J286" s="17">
        <v>1</v>
      </c>
    </row>
    <row r="287" spans="1:20" x14ac:dyDescent="0.35">
      <c r="A287" s="21"/>
      <c r="B287" s="21"/>
      <c r="C287" s="17"/>
      <c r="D287" s="21" t="s">
        <v>81</v>
      </c>
      <c r="E287" s="21" t="s">
        <v>15</v>
      </c>
      <c r="F287" s="17"/>
      <c r="G287" s="17">
        <v>1</v>
      </c>
      <c r="H287" s="93"/>
      <c r="J287" s="17">
        <v>1</v>
      </c>
    </row>
    <row r="288" spans="1:20" x14ac:dyDescent="0.35">
      <c r="A288" s="21"/>
      <c r="B288" s="21"/>
      <c r="C288" s="17"/>
      <c r="D288" s="21" t="s">
        <v>278</v>
      </c>
      <c r="E288" s="21" t="s">
        <v>279</v>
      </c>
      <c r="F288" s="17"/>
      <c r="G288" s="17">
        <v>24</v>
      </c>
      <c r="H288" s="93"/>
    </row>
    <row r="289" spans="1:20" s="76" customFormat="1" ht="21.75" thickBot="1" x14ac:dyDescent="0.4">
      <c r="A289" s="48"/>
      <c r="B289" s="48"/>
      <c r="C289" s="49"/>
      <c r="D289" s="48"/>
      <c r="E289" s="48"/>
      <c r="F289" s="49"/>
      <c r="G289" s="49"/>
      <c r="H289" s="94"/>
      <c r="I289" s="49"/>
      <c r="J289" s="49"/>
      <c r="K289" s="49"/>
      <c r="L289" s="49"/>
      <c r="M289" s="49"/>
      <c r="N289" s="49"/>
      <c r="O289" s="49"/>
      <c r="P289" s="49"/>
      <c r="Q289" s="49"/>
      <c r="R289" s="49"/>
      <c r="S289" s="49"/>
      <c r="T289" s="49"/>
    </row>
    <row r="290" spans="1:20" x14ac:dyDescent="0.35">
      <c r="A290" s="46" t="s">
        <v>11</v>
      </c>
      <c r="B290" s="46" t="s">
        <v>163</v>
      </c>
      <c r="C290" s="53">
        <v>4932</v>
      </c>
      <c r="D290" s="46" t="s">
        <v>410</v>
      </c>
      <c r="E290" s="46" t="s">
        <v>411</v>
      </c>
      <c r="F290" s="47" t="s">
        <v>461</v>
      </c>
      <c r="G290" s="47">
        <v>1</v>
      </c>
      <c r="H290" s="95">
        <v>46141</v>
      </c>
      <c r="I290" s="47"/>
      <c r="J290" s="47"/>
      <c r="K290" s="47">
        <v>2</v>
      </c>
      <c r="L290" s="47"/>
      <c r="M290" s="47"/>
      <c r="N290" s="47">
        <v>2</v>
      </c>
      <c r="O290" s="47"/>
      <c r="P290" s="47"/>
      <c r="Q290" s="47"/>
      <c r="R290" s="47"/>
      <c r="S290" s="47"/>
      <c r="T290" s="47"/>
    </row>
    <row r="291" spans="1:20" x14ac:dyDescent="0.35">
      <c r="A291" s="21"/>
      <c r="B291" s="21"/>
      <c r="C291" s="17"/>
      <c r="D291" s="21" t="s">
        <v>143</v>
      </c>
      <c r="E291" s="21" t="s">
        <v>287</v>
      </c>
      <c r="F291" s="17"/>
      <c r="G291" s="17">
        <v>1</v>
      </c>
      <c r="H291" s="93"/>
      <c r="K291" s="17">
        <v>1.5</v>
      </c>
      <c r="N291" s="17">
        <v>1.5</v>
      </c>
    </row>
    <row r="292" spans="1:20" x14ac:dyDescent="0.35">
      <c r="A292" s="21"/>
      <c r="B292" s="21"/>
      <c r="C292" s="17"/>
      <c r="D292" s="21" t="s">
        <v>79</v>
      </c>
      <c r="E292" s="21" t="s">
        <v>316</v>
      </c>
      <c r="F292" s="17"/>
      <c r="G292" s="17">
        <v>1</v>
      </c>
      <c r="H292" s="93"/>
      <c r="K292" s="17">
        <v>0.5</v>
      </c>
      <c r="N292" s="17">
        <v>0.5</v>
      </c>
    </row>
    <row r="293" spans="1:20" s="76" customFormat="1" ht="21.75" thickBot="1" x14ac:dyDescent="0.4">
      <c r="A293" s="48"/>
      <c r="B293" s="48"/>
      <c r="C293" s="49"/>
      <c r="D293" s="48"/>
      <c r="E293" s="48"/>
      <c r="F293" s="49"/>
      <c r="G293" s="49"/>
      <c r="H293" s="94"/>
      <c r="I293" s="49"/>
      <c r="J293" s="49"/>
      <c r="K293" s="49"/>
      <c r="L293" s="49"/>
      <c r="M293" s="49"/>
      <c r="N293" s="49"/>
      <c r="O293" s="49"/>
      <c r="P293" s="49"/>
      <c r="Q293" s="49"/>
      <c r="R293" s="49"/>
      <c r="S293" s="49"/>
      <c r="T293" s="49"/>
    </row>
    <row r="294" spans="1:20" x14ac:dyDescent="0.35">
      <c r="A294" s="46" t="s">
        <v>11</v>
      </c>
      <c r="B294" s="46" t="s">
        <v>163</v>
      </c>
      <c r="C294" s="54">
        <v>4933</v>
      </c>
      <c r="D294" s="46" t="s">
        <v>76</v>
      </c>
      <c r="E294" s="46" t="s">
        <v>150</v>
      </c>
      <c r="F294" s="19" t="s">
        <v>461</v>
      </c>
      <c r="G294" s="47">
        <v>2</v>
      </c>
      <c r="H294" s="95">
        <v>46141</v>
      </c>
      <c r="I294" s="47"/>
      <c r="J294" s="47"/>
      <c r="K294" s="47">
        <v>1</v>
      </c>
      <c r="L294" s="47"/>
      <c r="M294" s="47"/>
      <c r="N294" s="47">
        <v>1</v>
      </c>
      <c r="O294" s="47"/>
      <c r="P294" s="47"/>
      <c r="Q294" s="47"/>
      <c r="R294" s="47"/>
      <c r="S294" s="47"/>
      <c r="T294" s="47"/>
    </row>
    <row r="295" spans="1:20" x14ac:dyDescent="0.35">
      <c r="A295" s="21"/>
      <c r="B295" s="21"/>
      <c r="C295" s="17"/>
      <c r="D295" s="21" t="s">
        <v>77</v>
      </c>
      <c r="E295" s="21" t="s">
        <v>20</v>
      </c>
      <c r="F295" s="17"/>
      <c r="G295" s="17">
        <v>2</v>
      </c>
      <c r="H295" s="93"/>
    </row>
    <row r="296" spans="1:20" x14ac:dyDescent="0.35">
      <c r="A296" s="21"/>
      <c r="B296" s="21"/>
      <c r="C296" s="17"/>
      <c r="D296" s="21" t="s">
        <v>137</v>
      </c>
      <c r="E296" s="21" t="s">
        <v>138</v>
      </c>
      <c r="F296" s="17"/>
      <c r="G296" s="17">
        <v>6</v>
      </c>
      <c r="H296" s="93"/>
    </row>
    <row r="297" spans="1:20" x14ac:dyDescent="0.35">
      <c r="A297" s="21"/>
      <c r="B297" s="21"/>
      <c r="C297" s="17"/>
      <c r="D297" s="21" t="s">
        <v>462</v>
      </c>
      <c r="E297" s="21" t="s">
        <v>463</v>
      </c>
      <c r="F297" s="17"/>
      <c r="G297" s="17">
        <v>2</v>
      </c>
      <c r="H297" s="93"/>
    </row>
    <row r="298" spans="1:20" x14ac:dyDescent="0.35">
      <c r="A298" s="84"/>
      <c r="B298" s="84"/>
      <c r="C298" s="74"/>
      <c r="D298" s="84" t="s">
        <v>157</v>
      </c>
      <c r="E298" s="84" t="s">
        <v>158</v>
      </c>
      <c r="F298" s="17"/>
      <c r="G298" s="74">
        <v>2</v>
      </c>
      <c r="H298" s="99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</row>
    <row r="299" spans="1:20" s="76" customFormat="1" ht="21.75" thickBot="1" x14ac:dyDescent="0.4">
      <c r="A299" s="48"/>
      <c r="B299" s="48"/>
      <c r="C299" s="49"/>
      <c r="D299" s="48"/>
      <c r="E299" s="48"/>
      <c r="F299" s="49"/>
      <c r="G299" s="49"/>
      <c r="H299" s="94"/>
      <c r="I299" s="49"/>
      <c r="J299" s="49"/>
      <c r="K299" s="49"/>
      <c r="L299" s="49"/>
      <c r="M299" s="49"/>
      <c r="N299" s="49"/>
      <c r="O299" s="49"/>
      <c r="P299" s="49"/>
      <c r="Q299" s="49"/>
      <c r="R299" s="49"/>
      <c r="S299" s="49"/>
      <c r="T299" s="49"/>
    </row>
    <row r="300" spans="1:20" x14ac:dyDescent="0.35">
      <c r="A300" s="46" t="s">
        <v>238</v>
      </c>
      <c r="B300" s="46" t="s">
        <v>464</v>
      </c>
      <c r="C300" s="47">
        <v>4934</v>
      </c>
      <c r="D300" s="46" t="s">
        <v>393</v>
      </c>
      <c r="E300" s="46" t="s">
        <v>465</v>
      </c>
      <c r="F300" s="52" t="s">
        <v>219</v>
      </c>
      <c r="G300" s="47">
        <v>1</v>
      </c>
      <c r="H300" s="95">
        <v>46142</v>
      </c>
      <c r="I300" s="47"/>
      <c r="J300" s="47"/>
      <c r="K300" s="47"/>
      <c r="L300" s="47"/>
      <c r="M300" s="47"/>
      <c r="N300" s="47"/>
      <c r="O300" s="47"/>
      <c r="P300" s="47"/>
      <c r="Q300" s="47"/>
      <c r="R300" s="47"/>
      <c r="S300" s="47"/>
      <c r="T300" s="47"/>
    </row>
    <row r="301" spans="1:20" x14ac:dyDescent="0.35">
      <c r="A301" s="21"/>
      <c r="B301" s="21"/>
      <c r="C301" s="17"/>
      <c r="D301" s="21" t="s">
        <v>77</v>
      </c>
      <c r="E301" s="21" t="s">
        <v>20</v>
      </c>
      <c r="F301" s="17"/>
      <c r="G301" s="17">
        <v>1</v>
      </c>
      <c r="H301" s="93"/>
    </row>
    <row r="302" spans="1:20" s="76" customFormat="1" ht="21.75" thickBot="1" x14ac:dyDescent="0.4">
      <c r="A302" s="48"/>
      <c r="B302" s="48"/>
      <c r="C302" s="49"/>
      <c r="D302" s="48"/>
      <c r="E302" s="48"/>
      <c r="F302" s="49"/>
      <c r="G302" s="49"/>
      <c r="H302" s="94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</row>
    <row r="303" spans="1:20" x14ac:dyDescent="0.35">
      <c r="A303" s="46" t="s">
        <v>136</v>
      </c>
      <c r="B303" s="46" t="s">
        <v>223</v>
      </c>
      <c r="C303" s="53">
        <v>4935</v>
      </c>
      <c r="D303" s="46" t="s">
        <v>97</v>
      </c>
      <c r="E303" s="46" t="s">
        <v>24</v>
      </c>
      <c r="F303" s="19" t="s">
        <v>28</v>
      </c>
      <c r="G303" s="47">
        <v>1</v>
      </c>
      <c r="H303" s="95">
        <v>46146</v>
      </c>
      <c r="I303" s="47"/>
      <c r="J303" s="47"/>
      <c r="K303" s="47"/>
      <c r="L303" s="47">
        <v>0.5</v>
      </c>
      <c r="M303" s="47">
        <v>0.5</v>
      </c>
      <c r="N303" s="47"/>
      <c r="O303" s="47"/>
      <c r="P303" s="47"/>
      <c r="Q303" s="47"/>
      <c r="R303" s="47"/>
      <c r="S303" s="47"/>
      <c r="T303" s="47"/>
    </row>
    <row r="304" spans="1:20" x14ac:dyDescent="0.35">
      <c r="A304" s="21"/>
      <c r="B304" s="21"/>
      <c r="C304" s="17"/>
      <c r="D304" s="21" t="s">
        <v>408</v>
      </c>
      <c r="E304" s="21" t="s">
        <v>476</v>
      </c>
      <c r="F304" s="17"/>
      <c r="G304" s="17">
        <v>1</v>
      </c>
      <c r="H304" s="93"/>
    </row>
    <row r="305" spans="1:20" x14ac:dyDescent="0.35">
      <c r="A305" s="21"/>
      <c r="B305" s="21"/>
      <c r="C305" s="17"/>
      <c r="D305" s="21" t="s">
        <v>82</v>
      </c>
      <c r="E305" s="21" t="s">
        <v>26</v>
      </c>
      <c r="F305" s="17"/>
      <c r="G305" s="17">
        <v>1</v>
      </c>
      <c r="H305" s="93"/>
    </row>
    <row r="306" spans="1:20" x14ac:dyDescent="0.35">
      <c r="A306" s="21"/>
      <c r="B306" s="21"/>
      <c r="C306" s="17"/>
      <c r="D306" s="21" t="s">
        <v>83</v>
      </c>
      <c r="E306" s="21" t="s">
        <v>12</v>
      </c>
      <c r="F306" s="17"/>
      <c r="G306" s="17">
        <v>1</v>
      </c>
      <c r="H306" s="93"/>
    </row>
    <row r="307" spans="1:20" x14ac:dyDescent="0.35">
      <c r="A307" s="21"/>
      <c r="B307" s="21"/>
      <c r="C307" s="17"/>
      <c r="D307" s="21" t="s">
        <v>84</v>
      </c>
      <c r="E307" s="21" t="s">
        <v>13</v>
      </c>
      <c r="F307" s="17"/>
      <c r="G307" s="17">
        <v>1</v>
      </c>
      <c r="H307" s="93"/>
    </row>
    <row r="308" spans="1:20" x14ac:dyDescent="0.35">
      <c r="A308" s="21"/>
      <c r="B308" s="21"/>
      <c r="C308" s="17"/>
      <c r="D308" s="21" t="s">
        <v>78</v>
      </c>
      <c r="E308" s="21" t="s">
        <v>16</v>
      </c>
      <c r="F308" s="17"/>
      <c r="G308" s="17">
        <v>1</v>
      </c>
      <c r="H308" s="93"/>
    </row>
    <row r="309" spans="1:20" x14ac:dyDescent="0.35">
      <c r="A309" s="21"/>
      <c r="B309" s="21"/>
      <c r="C309" s="17"/>
      <c r="D309" s="21" t="s">
        <v>374</v>
      </c>
      <c r="E309" s="21" t="s">
        <v>375</v>
      </c>
      <c r="F309" s="17"/>
      <c r="G309" s="17">
        <v>1</v>
      </c>
      <c r="H309" s="93"/>
      <c r="L309" s="17">
        <v>0.5</v>
      </c>
      <c r="M309" s="17">
        <v>0.5</v>
      </c>
    </row>
    <row r="310" spans="1:20" x14ac:dyDescent="0.35">
      <c r="A310" s="21"/>
      <c r="B310" s="21"/>
      <c r="C310" s="17"/>
      <c r="D310" s="21" t="s">
        <v>88</v>
      </c>
      <c r="E310" s="21" t="s">
        <v>23</v>
      </c>
      <c r="F310" s="17"/>
      <c r="G310" s="17">
        <v>1</v>
      </c>
      <c r="H310" s="93"/>
      <c r="L310" s="17">
        <v>0.5</v>
      </c>
      <c r="M310" s="17">
        <v>0.5</v>
      </c>
    </row>
    <row r="311" spans="1:20" x14ac:dyDescent="0.35">
      <c r="A311" s="21"/>
      <c r="B311" s="21"/>
      <c r="C311" s="17"/>
      <c r="D311" s="21" t="s">
        <v>87</v>
      </c>
      <c r="E311" s="21" t="s">
        <v>21</v>
      </c>
      <c r="F311" s="17"/>
      <c r="G311" s="17">
        <v>1</v>
      </c>
      <c r="H311" s="93"/>
      <c r="L311" s="17">
        <v>0.5</v>
      </c>
      <c r="M311" s="17">
        <v>0.5</v>
      </c>
    </row>
    <row r="312" spans="1:20" x14ac:dyDescent="0.35">
      <c r="A312" s="21"/>
      <c r="B312" s="21"/>
      <c r="C312" s="17"/>
      <c r="D312" s="21" t="s">
        <v>75</v>
      </c>
      <c r="E312" s="21" t="s">
        <v>55</v>
      </c>
      <c r="F312" s="17"/>
      <c r="G312" s="17">
        <v>1</v>
      </c>
      <c r="H312" s="93"/>
      <c r="L312" s="17">
        <v>0.5</v>
      </c>
      <c r="M312" s="17">
        <v>0.5</v>
      </c>
    </row>
    <row r="313" spans="1:20" x14ac:dyDescent="0.35">
      <c r="A313" s="21"/>
      <c r="B313" s="21"/>
      <c r="C313" s="17"/>
      <c r="D313" s="21" t="s">
        <v>224</v>
      </c>
      <c r="E313" s="21" t="s">
        <v>153</v>
      </c>
      <c r="F313" s="17"/>
      <c r="G313" s="17">
        <v>1</v>
      </c>
      <c r="H313" s="93"/>
      <c r="L313" s="17">
        <v>0.5</v>
      </c>
      <c r="M313" s="17">
        <v>0.5</v>
      </c>
    </row>
    <row r="314" spans="1:20" x14ac:dyDescent="0.35">
      <c r="A314" s="21"/>
      <c r="B314" s="21"/>
      <c r="C314" s="17"/>
      <c r="D314" s="21" t="s">
        <v>466</v>
      </c>
      <c r="E314" s="21" t="s">
        <v>467</v>
      </c>
      <c r="F314" s="17"/>
      <c r="G314" s="17">
        <v>1</v>
      </c>
      <c r="H314" s="93"/>
      <c r="L314" s="17">
        <v>0.5</v>
      </c>
      <c r="M314" s="17">
        <v>0.5</v>
      </c>
    </row>
    <row r="315" spans="1:20" x14ac:dyDescent="0.35">
      <c r="A315" s="21"/>
      <c r="B315" s="21"/>
      <c r="C315" s="17"/>
      <c r="D315" s="21" t="s">
        <v>81</v>
      </c>
      <c r="E315" s="21" t="s">
        <v>15</v>
      </c>
      <c r="F315" s="17"/>
      <c r="G315" s="17">
        <v>1</v>
      </c>
      <c r="H315" s="93"/>
      <c r="L315" s="17">
        <v>0.5</v>
      </c>
      <c r="M315" s="17">
        <v>0.5</v>
      </c>
    </row>
    <row r="316" spans="1:20" x14ac:dyDescent="0.35">
      <c r="A316" s="21"/>
      <c r="B316" s="21"/>
      <c r="C316" s="17"/>
      <c r="D316" s="21" t="s">
        <v>468</v>
      </c>
      <c r="E316" s="21" t="s">
        <v>469</v>
      </c>
      <c r="F316" s="17"/>
      <c r="G316" s="17">
        <v>24</v>
      </c>
      <c r="H316" s="93"/>
    </row>
    <row r="317" spans="1:20" x14ac:dyDescent="0.35">
      <c r="A317" s="21"/>
      <c r="B317" s="21"/>
      <c r="C317" s="17"/>
      <c r="D317" s="21" t="s">
        <v>472</v>
      </c>
      <c r="E317" s="21" t="s">
        <v>473</v>
      </c>
      <c r="F317" s="17"/>
      <c r="G317" s="17">
        <v>1</v>
      </c>
      <c r="H317" s="93"/>
    </row>
    <row r="318" spans="1:20" x14ac:dyDescent="0.35">
      <c r="A318" s="21"/>
      <c r="B318" s="21"/>
      <c r="C318" s="17"/>
      <c r="D318" s="21" t="s">
        <v>89</v>
      </c>
      <c r="E318" s="21" t="s">
        <v>90</v>
      </c>
      <c r="F318" s="17"/>
      <c r="G318" s="17">
        <v>1</v>
      </c>
      <c r="H318" s="93"/>
    </row>
    <row r="319" spans="1:20" x14ac:dyDescent="0.35">
      <c r="A319" s="21"/>
      <c r="B319" s="21"/>
      <c r="C319" s="17"/>
      <c r="D319" s="21" t="s">
        <v>210</v>
      </c>
      <c r="E319" s="21" t="s">
        <v>211</v>
      </c>
      <c r="F319" s="17"/>
      <c r="G319" s="17">
        <v>1</v>
      </c>
      <c r="H319" s="93"/>
    </row>
    <row r="320" spans="1:20" x14ac:dyDescent="0.35">
      <c r="A320" s="84"/>
      <c r="B320" s="84"/>
      <c r="C320" s="74"/>
      <c r="D320" s="84" t="s">
        <v>427</v>
      </c>
      <c r="E320" s="84" t="s">
        <v>428</v>
      </c>
      <c r="F320" s="17"/>
      <c r="G320" s="17">
        <v>1</v>
      </c>
      <c r="H320" s="99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</row>
    <row r="321" spans="1:20" x14ac:dyDescent="0.35">
      <c r="A321" s="84"/>
      <c r="B321" s="84"/>
      <c r="C321" s="74"/>
      <c r="D321" s="84" t="s">
        <v>127</v>
      </c>
      <c r="E321" s="84" t="s">
        <v>128</v>
      </c>
      <c r="G321" s="74">
        <v>1</v>
      </c>
      <c r="H321" s="99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</row>
    <row r="322" spans="1:20" s="76" customFormat="1" ht="21.75" thickBot="1" x14ac:dyDescent="0.4">
      <c r="A322" s="48"/>
      <c r="B322" s="48"/>
      <c r="C322" s="49"/>
      <c r="D322" s="48"/>
      <c r="E322" s="48"/>
      <c r="F322" s="49"/>
      <c r="G322" s="49"/>
      <c r="H322" s="94"/>
      <c r="I322" s="49"/>
      <c r="J322" s="49"/>
      <c r="K322" s="49"/>
      <c r="L322" s="49"/>
      <c r="M322" s="49"/>
      <c r="N322" s="49"/>
      <c r="O322" s="49"/>
      <c r="P322" s="49"/>
      <c r="Q322" s="49"/>
      <c r="R322" s="49"/>
      <c r="S322" s="49"/>
      <c r="T322" s="49"/>
    </row>
    <row r="323" spans="1:20" x14ac:dyDescent="0.35">
      <c r="A323" s="46" t="s">
        <v>11</v>
      </c>
      <c r="B323" s="46" t="s">
        <v>163</v>
      </c>
      <c r="C323" s="53">
        <v>4936</v>
      </c>
      <c r="D323" s="46" t="s">
        <v>97</v>
      </c>
      <c r="E323" s="46" t="s">
        <v>24</v>
      </c>
      <c r="F323" s="19" t="s">
        <v>147</v>
      </c>
      <c r="G323" s="47">
        <v>3</v>
      </c>
      <c r="H323" s="95">
        <v>46146</v>
      </c>
      <c r="I323" s="47"/>
      <c r="J323" s="47"/>
      <c r="K323" s="47">
        <v>1.5</v>
      </c>
      <c r="L323" s="47"/>
      <c r="M323" s="47"/>
      <c r="N323" s="47">
        <v>1.5</v>
      </c>
      <c r="O323" s="47"/>
      <c r="P323" s="47"/>
      <c r="Q323" s="47"/>
      <c r="R323" s="47"/>
      <c r="S323" s="47"/>
      <c r="T323" s="47"/>
    </row>
    <row r="324" spans="1:20" x14ac:dyDescent="0.35">
      <c r="A324" s="21"/>
      <c r="B324" s="21"/>
      <c r="C324" s="17"/>
      <c r="D324" s="21" t="s">
        <v>98</v>
      </c>
      <c r="E324" s="21" t="s">
        <v>57</v>
      </c>
      <c r="F324" s="17"/>
      <c r="G324" s="17">
        <v>3</v>
      </c>
      <c r="H324" s="93"/>
    </row>
    <row r="325" spans="1:20" x14ac:dyDescent="0.35">
      <c r="A325" s="21"/>
      <c r="B325" s="21"/>
      <c r="C325" s="17"/>
      <c r="D325" s="21" t="s">
        <v>93</v>
      </c>
      <c r="E325" s="21" t="s">
        <v>14</v>
      </c>
      <c r="F325" s="17"/>
      <c r="G325" s="17">
        <v>3</v>
      </c>
      <c r="H325" s="93"/>
      <c r="K325" s="17">
        <v>1.5</v>
      </c>
      <c r="N325" s="17">
        <v>1.5</v>
      </c>
    </row>
    <row r="326" spans="1:20" x14ac:dyDescent="0.35">
      <c r="A326" s="21"/>
      <c r="B326" s="21"/>
      <c r="C326" s="17"/>
      <c r="D326" s="21" t="s">
        <v>123</v>
      </c>
      <c r="E326" s="21" t="s">
        <v>25</v>
      </c>
      <c r="F326" s="17"/>
      <c r="G326" s="17">
        <v>3</v>
      </c>
      <c r="H326" s="93"/>
      <c r="K326" s="17">
        <v>1.5</v>
      </c>
      <c r="N326" s="17">
        <v>1.5</v>
      </c>
    </row>
    <row r="327" spans="1:20" x14ac:dyDescent="0.35">
      <c r="A327" s="21"/>
      <c r="B327" s="21"/>
      <c r="C327" s="17"/>
      <c r="D327" s="21" t="s">
        <v>87</v>
      </c>
      <c r="E327" s="21" t="s">
        <v>21</v>
      </c>
      <c r="F327" s="17"/>
      <c r="G327" s="17">
        <v>3</v>
      </c>
      <c r="H327" s="93"/>
      <c r="K327" s="17">
        <v>1.5</v>
      </c>
      <c r="N327" s="17">
        <v>1.5</v>
      </c>
    </row>
    <row r="328" spans="1:20" x14ac:dyDescent="0.35">
      <c r="A328" s="21"/>
      <c r="B328" s="21"/>
      <c r="C328" s="17"/>
      <c r="D328" s="21" t="s">
        <v>107</v>
      </c>
      <c r="E328" s="21" t="s">
        <v>125</v>
      </c>
      <c r="F328" s="17"/>
      <c r="G328" s="17">
        <v>3</v>
      </c>
      <c r="H328" s="93"/>
      <c r="K328" s="17">
        <v>1.5</v>
      </c>
      <c r="N328" s="17">
        <v>1.5</v>
      </c>
    </row>
    <row r="329" spans="1:20" x14ac:dyDescent="0.35">
      <c r="A329" s="21"/>
      <c r="B329" s="21"/>
      <c r="C329" s="17"/>
      <c r="D329" s="21" t="s">
        <v>137</v>
      </c>
      <c r="E329" s="21" t="s">
        <v>138</v>
      </c>
      <c r="F329" s="17"/>
      <c r="G329" s="17">
        <v>9</v>
      </c>
      <c r="H329" s="93"/>
    </row>
    <row r="330" spans="1:20" x14ac:dyDescent="0.35">
      <c r="A330" s="21"/>
      <c r="B330" s="21"/>
      <c r="C330" s="17"/>
      <c r="D330" s="21" t="s">
        <v>365</v>
      </c>
      <c r="E330" s="21" t="s">
        <v>366</v>
      </c>
      <c r="F330" s="17"/>
      <c r="G330" s="17">
        <v>3</v>
      </c>
      <c r="H330" s="93"/>
    </row>
    <row r="331" spans="1:20" x14ac:dyDescent="0.35">
      <c r="A331" s="21"/>
      <c r="B331" s="21"/>
      <c r="C331" s="17"/>
      <c r="D331" s="21" t="s">
        <v>82</v>
      </c>
      <c r="E331" s="21" t="s">
        <v>26</v>
      </c>
      <c r="F331" s="17"/>
      <c r="G331" s="17">
        <v>3</v>
      </c>
      <c r="H331" s="93"/>
    </row>
    <row r="332" spans="1:20" x14ac:dyDescent="0.35">
      <c r="A332" s="21"/>
      <c r="B332" s="21"/>
      <c r="C332" s="17"/>
      <c r="D332" s="21" t="s">
        <v>470</v>
      </c>
      <c r="E332" s="21" t="s">
        <v>471</v>
      </c>
      <c r="F332" s="17"/>
      <c r="G332" s="17">
        <v>3</v>
      </c>
      <c r="H332" s="93"/>
    </row>
    <row r="333" spans="1:20" s="76" customFormat="1" ht="21.75" thickBot="1" x14ac:dyDescent="0.4">
      <c r="A333" s="48"/>
      <c r="B333" s="48"/>
      <c r="C333" s="49"/>
      <c r="D333" s="48"/>
      <c r="E333" s="48"/>
      <c r="F333" s="49"/>
      <c r="G333" s="49"/>
      <c r="H333" s="94"/>
      <c r="I333" s="49"/>
      <c r="J333" s="49"/>
      <c r="K333" s="49"/>
      <c r="L333" s="49"/>
      <c r="M333" s="49"/>
      <c r="N333" s="49"/>
      <c r="O333" s="49"/>
      <c r="P333" s="49"/>
      <c r="Q333" s="49"/>
      <c r="R333" s="49"/>
      <c r="S333" s="49"/>
      <c r="T333" s="49"/>
    </row>
    <row r="334" spans="1:20" x14ac:dyDescent="0.35">
      <c r="A334" s="46" t="s">
        <v>74</v>
      </c>
      <c r="B334" s="46" t="s">
        <v>226</v>
      </c>
      <c r="C334" s="53">
        <v>4937</v>
      </c>
      <c r="D334" s="46" t="s">
        <v>76</v>
      </c>
      <c r="E334" s="46" t="s">
        <v>150</v>
      </c>
      <c r="F334" s="19" t="s">
        <v>347</v>
      </c>
      <c r="G334" s="47">
        <v>1</v>
      </c>
      <c r="H334" s="95">
        <v>46146</v>
      </c>
      <c r="I334" s="47"/>
      <c r="J334" s="47">
        <v>0.5</v>
      </c>
      <c r="K334" s="47"/>
      <c r="L334" s="47"/>
      <c r="M334" s="47"/>
      <c r="N334" s="47"/>
      <c r="O334" s="47"/>
      <c r="P334" s="47"/>
      <c r="Q334" s="47"/>
      <c r="R334" s="47"/>
      <c r="S334" s="47"/>
      <c r="T334" s="47"/>
    </row>
    <row r="335" spans="1:20" x14ac:dyDescent="0.35">
      <c r="A335" s="21"/>
      <c r="B335" s="21"/>
      <c r="C335" s="17"/>
      <c r="D335" s="21" t="s">
        <v>77</v>
      </c>
      <c r="E335" s="21" t="s">
        <v>20</v>
      </c>
      <c r="F335" s="17"/>
      <c r="G335" s="17">
        <v>1</v>
      </c>
      <c r="H335" s="93"/>
    </row>
    <row r="336" spans="1:20" s="76" customFormat="1" ht="21.75" thickBot="1" x14ac:dyDescent="0.4">
      <c r="A336" s="48"/>
      <c r="B336" s="48"/>
      <c r="C336" s="49"/>
      <c r="D336" s="48"/>
      <c r="E336" s="48"/>
      <c r="F336" s="49"/>
      <c r="G336" s="49"/>
      <c r="H336" s="94"/>
      <c r="I336" s="49"/>
      <c r="J336" s="49"/>
      <c r="K336" s="49"/>
      <c r="L336" s="49"/>
      <c r="M336" s="49"/>
      <c r="N336" s="49"/>
      <c r="O336" s="49"/>
      <c r="P336" s="49"/>
      <c r="Q336" s="49"/>
      <c r="R336" s="49"/>
      <c r="S336" s="49"/>
      <c r="T336" s="49"/>
    </row>
    <row r="337" spans="1:20" x14ac:dyDescent="0.35">
      <c r="A337" s="46" t="s">
        <v>74</v>
      </c>
      <c r="B337" s="46" t="s">
        <v>226</v>
      </c>
      <c r="C337" s="53">
        <v>4938</v>
      </c>
      <c r="D337" s="46" t="s">
        <v>474</v>
      </c>
      <c r="E337" s="46" t="s">
        <v>475</v>
      </c>
      <c r="F337" s="19" t="s">
        <v>386</v>
      </c>
      <c r="G337" s="47">
        <v>2</v>
      </c>
      <c r="H337" s="95">
        <v>46146</v>
      </c>
      <c r="I337" s="47"/>
      <c r="J337" s="47"/>
      <c r="K337" s="47"/>
      <c r="L337" s="47"/>
      <c r="M337" s="47"/>
      <c r="N337" s="47"/>
      <c r="O337" s="47"/>
      <c r="P337" s="47"/>
      <c r="Q337" s="47"/>
      <c r="R337" s="47"/>
      <c r="S337" s="47"/>
      <c r="T337" s="47"/>
    </row>
    <row r="338" spans="1:20" s="76" customFormat="1" ht="21.75" thickBot="1" x14ac:dyDescent="0.4">
      <c r="A338" s="48"/>
      <c r="B338" s="48"/>
      <c r="C338" s="49"/>
      <c r="D338" s="48"/>
      <c r="E338" s="48"/>
      <c r="F338" s="91" t="s">
        <v>144</v>
      </c>
      <c r="G338" s="49"/>
      <c r="H338" s="94"/>
      <c r="I338" s="49"/>
      <c r="J338" s="49"/>
      <c r="K338" s="49"/>
      <c r="L338" s="49"/>
      <c r="M338" s="49"/>
      <c r="N338" s="49"/>
      <c r="O338" s="49"/>
      <c r="P338" s="49"/>
      <c r="Q338" s="49"/>
      <c r="R338" s="49"/>
      <c r="S338" s="49"/>
      <c r="T338" s="49"/>
    </row>
    <row r="339" spans="1:20" x14ac:dyDescent="0.35">
      <c r="A339" s="46" t="s">
        <v>482</v>
      </c>
      <c r="B339" s="46" t="s">
        <v>220</v>
      </c>
      <c r="C339" s="47">
        <v>4939</v>
      </c>
      <c r="D339" s="46" t="s">
        <v>478</v>
      </c>
      <c r="E339" s="46" t="s">
        <v>479</v>
      </c>
      <c r="F339" s="17" t="s">
        <v>483</v>
      </c>
      <c r="G339" s="47">
        <v>1</v>
      </c>
      <c r="H339" s="95">
        <v>46148</v>
      </c>
      <c r="I339" s="47"/>
      <c r="J339" s="47"/>
      <c r="K339" s="47"/>
      <c r="L339" s="47"/>
      <c r="M339" s="47"/>
      <c r="N339" s="47"/>
      <c r="O339" s="47"/>
      <c r="P339" s="47"/>
      <c r="Q339" s="47"/>
      <c r="R339" s="47"/>
      <c r="S339" s="47"/>
      <c r="T339" s="47"/>
    </row>
    <row r="340" spans="1:20" x14ac:dyDescent="0.35">
      <c r="A340" s="21"/>
      <c r="B340" s="21"/>
      <c r="C340" s="17"/>
      <c r="D340" s="21" t="s">
        <v>480</v>
      </c>
      <c r="E340" s="21" t="s">
        <v>481</v>
      </c>
      <c r="F340" s="17"/>
      <c r="G340" s="17">
        <v>1</v>
      </c>
      <c r="H340" s="93"/>
    </row>
    <row r="341" spans="1:20" x14ac:dyDescent="0.35">
      <c r="A341" s="21"/>
      <c r="B341" s="21"/>
      <c r="C341" s="17"/>
      <c r="D341" s="21" t="s">
        <v>77</v>
      </c>
      <c r="E341" s="21" t="s">
        <v>20</v>
      </c>
      <c r="F341" s="86" t="s">
        <v>413</v>
      </c>
      <c r="G341" s="17">
        <v>1</v>
      </c>
      <c r="H341" s="93"/>
    </row>
    <row r="342" spans="1:20" x14ac:dyDescent="0.35">
      <c r="A342" s="21"/>
      <c r="B342" s="21"/>
      <c r="C342" s="17"/>
      <c r="D342" s="21" t="s">
        <v>93</v>
      </c>
      <c r="E342" s="21" t="s">
        <v>14</v>
      </c>
      <c r="F342" s="17"/>
      <c r="G342" s="17">
        <v>1</v>
      </c>
      <c r="H342" s="93"/>
    </row>
    <row r="343" spans="1:20" x14ac:dyDescent="0.35">
      <c r="A343" s="21"/>
      <c r="B343" s="21"/>
      <c r="C343" s="17"/>
      <c r="D343" s="21" t="s">
        <v>212</v>
      </c>
      <c r="E343" s="21" t="s">
        <v>213</v>
      </c>
      <c r="G343" s="17">
        <v>1</v>
      </c>
      <c r="H343" s="93"/>
    </row>
    <row r="344" spans="1:20" s="76" customFormat="1" ht="21.75" thickBot="1" x14ac:dyDescent="0.4">
      <c r="A344" s="48"/>
      <c r="B344" s="48"/>
      <c r="C344" s="49"/>
      <c r="D344" s="48"/>
      <c r="E344" s="48"/>
      <c r="F344" s="49"/>
      <c r="G344" s="49"/>
      <c r="H344" s="94"/>
      <c r="I344" s="49"/>
      <c r="J344" s="49"/>
      <c r="K344" s="49"/>
      <c r="L344" s="49"/>
      <c r="M344" s="49"/>
      <c r="N344" s="49"/>
      <c r="O344" s="49"/>
      <c r="P344" s="49"/>
      <c r="Q344" s="49"/>
      <c r="R344" s="49"/>
      <c r="S344" s="49"/>
      <c r="T344" s="49"/>
    </row>
    <row r="345" spans="1:20" x14ac:dyDescent="0.35">
      <c r="A345" s="46" t="s">
        <v>74</v>
      </c>
      <c r="B345" s="46" t="s">
        <v>226</v>
      </c>
      <c r="C345" s="53">
        <v>4940</v>
      </c>
      <c r="D345" s="46" t="s">
        <v>76</v>
      </c>
      <c r="E345" s="46" t="s">
        <v>150</v>
      </c>
      <c r="F345" s="19" t="s">
        <v>484</v>
      </c>
      <c r="G345" s="47">
        <v>1</v>
      </c>
      <c r="H345" s="95">
        <v>46148</v>
      </c>
      <c r="I345" s="47"/>
      <c r="J345" s="47"/>
      <c r="K345" s="47">
        <v>0.5</v>
      </c>
      <c r="L345" s="47"/>
      <c r="M345" s="47"/>
      <c r="N345" s="47"/>
      <c r="O345" s="47"/>
      <c r="P345" s="47"/>
      <c r="Q345" s="47"/>
      <c r="R345" s="47"/>
      <c r="S345" s="47"/>
      <c r="T345" s="47"/>
    </row>
    <row r="346" spans="1:20" s="76" customFormat="1" ht="21.75" thickBot="1" x14ac:dyDescent="0.4">
      <c r="A346" s="48"/>
      <c r="B346" s="48"/>
      <c r="C346" s="49"/>
      <c r="D346" s="48"/>
      <c r="E346" s="90"/>
      <c r="F346" s="49"/>
      <c r="G346" s="49"/>
      <c r="H346" s="94"/>
      <c r="I346" s="49"/>
      <c r="J346" s="49"/>
      <c r="K346" s="49"/>
      <c r="L346" s="49"/>
      <c r="M346" s="49"/>
      <c r="N346" s="49"/>
      <c r="O346" s="49"/>
      <c r="P346" s="49"/>
      <c r="Q346" s="49"/>
      <c r="R346" s="49"/>
      <c r="S346" s="49"/>
      <c r="T346" s="49"/>
    </row>
    <row r="347" spans="1:20" x14ac:dyDescent="0.35">
      <c r="A347" s="46" t="s">
        <v>74</v>
      </c>
      <c r="B347" s="46" t="s">
        <v>226</v>
      </c>
      <c r="C347" s="53">
        <v>4941</v>
      </c>
      <c r="D347" s="46" t="s">
        <v>76</v>
      </c>
      <c r="E347" s="46" t="s">
        <v>150</v>
      </c>
      <c r="F347" s="19" t="s">
        <v>303</v>
      </c>
      <c r="G347" s="47">
        <v>1</v>
      </c>
      <c r="H347" s="95">
        <v>46148</v>
      </c>
      <c r="I347" s="47"/>
      <c r="J347" s="47"/>
      <c r="K347" s="47">
        <v>0.5</v>
      </c>
      <c r="L347" s="47"/>
      <c r="M347" s="47"/>
      <c r="N347" s="47"/>
      <c r="O347" s="47"/>
      <c r="P347" s="47"/>
      <c r="Q347" s="47"/>
      <c r="R347" s="47"/>
      <c r="S347" s="47"/>
      <c r="T347" s="47"/>
    </row>
    <row r="348" spans="1:20" s="76" customFormat="1" ht="21.75" thickBot="1" x14ac:dyDescent="0.4">
      <c r="A348" s="48"/>
      <c r="B348" s="48"/>
      <c r="C348" s="49"/>
      <c r="D348" s="48"/>
      <c r="E348" s="48"/>
      <c r="F348" s="49"/>
      <c r="G348" s="49"/>
      <c r="H348" s="94"/>
      <c r="I348" s="49"/>
      <c r="J348" s="49"/>
      <c r="K348" s="49"/>
      <c r="L348" s="49"/>
      <c r="M348" s="49"/>
      <c r="N348" s="49"/>
      <c r="O348" s="49"/>
      <c r="P348" s="49"/>
      <c r="Q348" s="49"/>
      <c r="R348" s="49"/>
      <c r="S348" s="49"/>
      <c r="T348" s="49"/>
    </row>
    <row r="349" spans="1:20" x14ac:dyDescent="0.35">
      <c r="A349" s="46" t="s">
        <v>11</v>
      </c>
      <c r="B349" s="46" t="s">
        <v>163</v>
      </c>
      <c r="C349" s="53">
        <v>4942</v>
      </c>
      <c r="D349" s="46" t="s">
        <v>80</v>
      </c>
      <c r="E349" s="46" t="s">
        <v>19</v>
      </c>
      <c r="F349" s="19" t="s">
        <v>362</v>
      </c>
      <c r="G349" s="47">
        <v>3</v>
      </c>
      <c r="H349" s="95">
        <v>46149</v>
      </c>
      <c r="I349" s="47"/>
      <c r="J349" s="47"/>
      <c r="K349" s="47"/>
      <c r="L349" s="47"/>
      <c r="M349" s="47"/>
      <c r="N349" s="47"/>
      <c r="O349" s="47"/>
      <c r="P349" s="47">
        <v>3</v>
      </c>
      <c r="Q349" s="47"/>
      <c r="R349" s="47"/>
      <c r="S349" s="47"/>
      <c r="T349" s="47"/>
    </row>
    <row r="350" spans="1:20" s="76" customFormat="1" ht="21.75" thickBot="1" x14ac:dyDescent="0.4">
      <c r="A350" s="48"/>
      <c r="B350" s="48"/>
      <c r="C350" s="49"/>
      <c r="D350" s="48"/>
      <c r="E350" s="48"/>
      <c r="F350" s="49"/>
      <c r="G350" s="49"/>
      <c r="H350" s="94"/>
      <c r="I350" s="49"/>
      <c r="J350" s="49"/>
      <c r="K350" s="49"/>
      <c r="L350" s="49"/>
      <c r="M350" s="49"/>
      <c r="N350" s="49"/>
      <c r="O350" s="49"/>
      <c r="P350" s="49"/>
      <c r="Q350" s="49"/>
      <c r="R350" s="49"/>
      <c r="S350" s="49"/>
      <c r="T350" s="49"/>
    </row>
    <row r="351" spans="1:20" x14ac:dyDescent="0.35">
      <c r="A351" s="46" t="s">
        <v>11</v>
      </c>
      <c r="B351" s="46" t="s">
        <v>163</v>
      </c>
      <c r="C351" s="53">
        <v>4943</v>
      </c>
      <c r="D351" s="46" t="s">
        <v>97</v>
      </c>
      <c r="E351" s="46" t="s">
        <v>24</v>
      </c>
      <c r="F351" s="19" t="s">
        <v>421</v>
      </c>
      <c r="G351" s="47">
        <v>9</v>
      </c>
      <c r="H351" s="95">
        <v>46149</v>
      </c>
      <c r="I351" s="47"/>
      <c r="J351" s="47"/>
      <c r="K351" s="47">
        <v>2.25</v>
      </c>
      <c r="L351" s="47"/>
      <c r="M351" s="47"/>
      <c r="N351" s="47">
        <v>2.25</v>
      </c>
      <c r="O351" s="47">
        <v>2.25</v>
      </c>
      <c r="P351" s="47">
        <v>2.25</v>
      </c>
      <c r="Q351" s="47"/>
      <c r="R351" s="47"/>
      <c r="S351" s="47"/>
      <c r="T351" s="47"/>
    </row>
    <row r="352" spans="1:20" x14ac:dyDescent="0.35">
      <c r="A352" s="21"/>
      <c r="B352" s="21"/>
      <c r="C352" s="17"/>
      <c r="D352" s="21" t="s">
        <v>100</v>
      </c>
      <c r="E352" s="71" t="s">
        <v>50</v>
      </c>
      <c r="F352" s="17"/>
      <c r="G352" s="72">
        <v>9</v>
      </c>
      <c r="H352" s="93"/>
    </row>
    <row r="353" spans="1:20" x14ac:dyDescent="0.35">
      <c r="A353" s="21"/>
      <c r="B353" s="21"/>
      <c r="C353" s="17"/>
      <c r="D353" s="21" t="s">
        <v>98</v>
      </c>
      <c r="E353" s="71" t="s">
        <v>57</v>
      </c>
      <c r="F353" s="17"/>
      <c r="G353" s="72">
        <v>9</v>
      </c>
      <c r="H353" s="93"/>
    </row>
    <row r="354" spans="1:20" x14ac:dyDescent="0.35">
      <c r="A354" s="21"/>
      <c r="B354" s="21"/>
      <c r="C354" s="17"/>
      <c r="D354" s="21" t="s">
        <v>93</v>
      </c>
      <c r="E354" s="71" t="s">
        <v>14</v>
      </c>
      <c r="F354" s="17"/>
      <c r="G354" s="72">
        <v>9</v>
      </c>
      <c r="H354" s="93"/>
      <c r="K354" s="47">
        <v>2.25</v>
      </c>
      <c r="N354" s="47">
        <v>2.25</v>
      </c>
      <c r="O354" s="47">
        <v>2.25</v>
      </c>
      <c r="P354" s="47">
        <v>2.25</v>
      </c>
    </row>
    <row r="355" spans="1:20" x14ac:dyDescent="0.35">
      <c r="A355" s="21"/>
      <c r="B355" s="21"/>
      <c r="C355" s="17"/>
      <c r="D355" s="21" t="s">
        <v>99</v>
      </c>
      <c r="E355" s="71" t="s">
        <v>418</v>
      </c>
      <c r="F355" s="17"/>
      <c r="G355" s="72">
        <v>9</v>
      </c>
      <c r="H355" s="93"/>
      <c r="K355" s="47">
        <v>2.25</v>
      </c>
      <c r="N355" s="47">
        <v>2.25</v>
      </c>
      <c r="O355" s="47">
        <v>2.25</v>
      </c>
      <c r="P355" s="47">
        <v>2.25</v>
      </c>
    </row>
    <row r="356" spans="1:20" x14ac:dyDescent="0.35">
      <c r="A356" s="21"/>
      <c r="B356" s="21"/>
      <c r="C356" s="17"/>
      <c r="D356" s="21" t="s">
        <v>87</v>
      </c>
      <c r="E356" s="71" t="s">
        <v>485</v>
      </c>
      <c r="F356" s="17"/>
      <c r="G356" s="72">
        <v>9</v>
      </c>
      <c r="H356" s="93"/>
      <c r="K356" s="47">
        <v>2.25</v>
      </c>
      <c r="N356" s="47">
        <v>2.25</v>
      </c>
      <c r="O356" s="47">
        <v>2.25</v>
      </c>
      <c r="P356" s="47">
        <v>2.25</v>
      </c>
    </row>
    <row r="357" spans="1:20" x14ac:dyDescent="0.35">
      <c r="A357" s="21"/>
      <c r="B357" s="21"/>
      <c r="C357" s="17"/>
      <c r="D357" s="21" t="s">
        <v>365</v>
      </c>
      <c r="E357" s="71" t="s">
        <v>366</v>
      </c>
      <c r="F357" s="17"/>
      <c r="G357" s="72">
        <v>9</v>
      </c>
      <c r="H357" s="93"/>
      <c r="K357" s="47"/>
    </row>
    <row r="358" spans="1:20" x14ac:dyDescent="0.35">
      <c r="A358" s="21"/>
      <c r="B358" s="21"/>
      <c r="C358" s="17"/>
      <c r="D358" s="21" t="s">
        <v>107</v>
      </c>
      <c r="E358" s="71" t="s">
        <v>125</v>
      </c>
      <c r="F358" s="17"/>
      <c r="G358" s="72">
        <v>9</v>
      </c>
      <c r="H358" s="93"/>
      <c r="K358" s="47">
        <v>2.25</v>
      </c>
      <c r="N358" s="47">
        <v>2.25</v>
      </c>
      <c r="O358" s="47">
        <v>2.25</v>
      </c>
      <c r="P358" s="47">
        <v>2.25</v>
      </c>
    </row>
    <row r="359" spans="1:20" x14ac:dyDescent="0.35">
      <c r="A359" s="21"/>
      <c r="B359" s="21"/>
      <c r="C359" s="17"/>
      <c r="D359" s="21" t="s">
        <v>137</v>
      </c>
      <c r="E359" s="71" t="s">
        <v>138</v>
      </c>
      <c r="F359" s="17"/>
      <c r="G359" s="72">
        <v>27</v>
      </c>
      <c r="H359" s="93"/>
    </row>
    <row r="360" spans="1:20" x14ac:dyDescent="0.35">
      <c r="A360" s="21"/>
      <c r="B360" s="21"/>
      <c r="C360" s="17"/>
      <c r="D360" s="21" t="s">
        <v>470</v>
      </c>
      <c r="E360" s="71" t="s">
        <v>471</v>
      </c>
      <c r="F360" s="17"/>
      <c r="G360" s="72">
        <v>9</v>
      </c>
      <c r="H360" s="93"/>
    </row>
    <row r="361" spans="1:20" x14ac:dyDescent="0.35">
      <c r="A361" s="21"/>
      <c r="B361" s="21"/>
      <c r="C361" s="17"/>
      <c r="D361" s="21" t="s">
        <v>82</v>
      </c>
      <c r="E361" s="21" t="s">
        <v>26</v>
      </c>
      <c r="G361" s="17">
        <v>9</v>
      </c>
      <c r="H361" s="93"/>
    </row>
    <row r="362" spans="1:20" s="76" customFormat="1" ht="21.75" thickBot="1" x14ac:dyDescent="0.4">
      <c r="A362" s="48"/>
      <c r="B362" s="48"/>
      <c r="C362" s="49"/>
      <c r="D362" s="48"/>
      <c r="E362" s="48"/>
      <c r="F362" s="74"/>
      <c r="G362" s="49"/>
      <c r="H362" s="94"/>
      <c r="I362" s="49"/>
      <c r="J362" s="49"/>
      <c r="K362" s="49"/>
      <c r="L362" s="49"/>
      <c r="M362" s="49"/>
      <c r="N362" s="49"/>
      <c r="O362" s="49"/>
      <c r="P362" s="49"/>
      <c r="Q362" s="49"/>
      <c r="R362" s="49"/>
      <c r="S362" s="49"/>
      <c r="T362" s="49"/>
    </row>
    <row r="363" spans="1:20" x14ac:dyDescent="0.35">
      <c r="A363" s="46" t="s">
        <v>486</v>
      </c>
      <c r="B363" s="46" t="s">
        <v>286</v>
      </c>
      <c r="C363" s="53">
        <v>4944</v>
      </c>
      <c r="D363" s="46" t="s">
        <v>401</v>
      </c>
      <c r="E363" s="46" t="s">
        <v>487</v>
      </c>
      <c r="F363" s="17" t="s">
        <v>294</v>
      </c>
      <c r="G363" s="47">
        <v>1</v>
      </c>
      <c r="H363" s="95">
        <v>46149</v>
      </c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</row>
    <row r="364" spans="1:20" x14ac:dyDescent="0.35">
      <c r="A364" s="21"/>
      <c r="B364" s="21"/>
      <c r="C364" s="17"/>
      <c r="D364" s="21" t="s">
        <v>76</v>
      </c>
      <c r="E364" s="21" t="s">
        <v>150</v>
      </c>
      <c r="F364" s="17"/>
      <c r="G364" s="17">
        <v>1</v>
      </c>
      <c r="H364" s="93"/>
      <c r="J364" s="17">
        <v>0.5</v>
      </c>
    </row>
    <row r="365" spans="1:20" x14ac:dyDescent="0.35">
      <c r="A365" s="21"/>
      <c r="B365" s="21"/>
      <c r="C365" s="17"/>
      <c r="D365" s="21" t="s">
        <v>221</v>
      </c>
      <c r="E365" s="21" t="s">
        <v>222</v>
      </c>
      <c r="F365" s="17"/>
      <c r="G365" s="17">
        <v>1</v>
      </c>
      <c r="H365" s="93"/>
      <c r="J365" s="17">
        <v>1</v>
      </c>
    </row>
    <row r="366" spans="1:20" x14ac:dyDescent="0.35">
      <c r="A366" s="21"/>
      <c r="B366" s="21"/>
      <c r="C366" s="17"/>
      <c r="D366" s="21" t="s">
        <v>77</v>
      </c>
      <c r="E366" s="21" t="s">
        <v>20</v>
      </c>
      <c r="F366" s="17"/>
      <c r="G366" s="17">
        <v>1</v>
      </c>
      <c r="H366" s="93"/>
    </row>
    <row r="367" spans="1:20" x14ac:dyDescent="0.35">
      <c r="A367" s="21"/>
      <c r="B367" s="21"/>
      <c r="C367" s="17"/>
      <c r="D367" s="21" t="s">
        <v>488</v>
      </c>
      <c r="E367" s="21" t="s">
        <v>489</v>
      </c>
      <c r="G367" s="17">
        <v>1</v>
      </c>
      <c r="H367" s="93"/>
      <c r="J367" s="17">
        <v>1</v>
      </c>
    </row>
    <row r="368" spans="1:20" s="76" customFormat="1" ht="21.75" thickBot="1" x14ac:dyDescent="0.4">
      <c r="A368" s="48"/>
      <c r="B368" s="48"/>
      <c r="C368" s="49"/>
      <c r="D368" s="48"/>
      <c r="E368" s="48"/>
      <c r="F368" s="74"/>
      <c r="G368" s="49"/>
      <c r="H368" s="94"/>
      <c r="I368" s="49"/>
      <c r="J368" s="49"/>
      <c r="K368" s="49"/>
      <c r="L368" s="49"/>
      <c r="M368" s="49"/>
      <c r="N368" s="49"/>
      <c r="O368" s="49"/>
      <c r="P368" s="49"/>
      <c r="Q368" s="49"/>
      <c r="R368" s="49"/>
      <c r="S368" s="49"/>
      <c r="T368" s="49"/>
    </row>
    <row r="369" spans="1:20" x14ac:dyDescent="0.35">
      <c r="A369" s="46" t="s">
        <v>309</v>
      </c>
      <c r="B369" s="46" t="s">
        <v>490</v>
      </c>
      <c r="C369" s="53">
        <v>4945</v>
      </c>
      <c r="D369" s="46" t="s">
        <v>491</v>
      </c>
      <c r="E369" s="46" t="s">
        <v>492</v>
      </c>
      <c r="F369" s="17" t="s">
        <v>495</v>
      </c>
      <c r="G369" s="47">
        <v>7</v>
      </c>
      <c r="H369" s="95">
        <v>46149</v>
      </c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</row>
    <row r="370" spans="1:20" x14ac:dyDescent="0.35">
      <c r="A370" s="21"/>
      <c r="B370" s="21"/>
      <c r="C370" s="17"/>
      <c r="D370" s="21" t="s">
        <v>493</v>
      </c>
      <c r="E370" s="21" t="s">
        <v>494</v>
      </c>
      <c r="F370" s="17"/>
      <c r="G370" s="17">
        <v>7</v>
      </c>
      <c r="H370" s="93"/>
      <c r="L370" s="17">
        <v>7</v>
      </c>
    </row>
    <row r="371" spans="1:20" x14ac:dyDescent="0.35">
      <c r="A371" s="21"/>
      <c r="B371" s="21"/>
      <c r="C371" s="17"/>
      <c r="D371" s="21" t="s">
        <v>456</v>
      </c>
      <c r="E371" s="21" t="s">
        <v>457</v>
      </c>
      <c r="F371" s="17"/>
      <c r="G371" s="17">
        <v>72</v>
      </c>
      <c r="H371" s="93"/>
    </row>
    <row r="372" spans="1:20" s="76" customFormat="1" ht="21.75" thickBot="1" x14ac:dyDescent="0.4">
      <c r="A372" s="48"/>
      <c r="B372" s="48"/>
      <c r="C372" s="49"/>
      <c r="D372" s="48"/>
      <c r="E372" s="48"/>
      <c r="F372" s="49"/>
      <c r="G372" s="49"/>
      <c r="H372" s="94"/>
      <c r="I372" s="49"/>
      <c r="J372" s="49"/>
      <c r="K372" s="49"/>
      <c r="L372" s="49"/>
      <c r="M372" s="49"/>
      <c r="N372" s="49"/>
      <c r="O372" s="49"/>
      <c r="P372" s="49"/>
      <c r="Q372" s="49"/>
      <c r="R372" s="49"/>
      <c r="S372" s="49"/>
      <c r="T372" s="49"/>
    </row>
    <row r="373" spans="1:20" x14ac:dyDescent="0.35">
      <c r="A373" s="46" t="s">
        <v>11</v>
      </c>
      <c r="B373" s="46" t="s">
        <v>163</v>
      </c>
      <c r="C373" s="51">
        <v>4946</v>
      </c>
      <c r="D373" s="46" t="s">
        <v>76</v>
      </c>
      <c r="E373" s="46" t="s">
        <v>150</v>
      </c>
      <c r="F373" s="19" t="s">
        <v>450</v>
      </c>
      <c r="G373" s="47">
        <v>1</v>
      </c>
      <c r="H373" s="95">
        <v>46149</v>
      </c>
      <c r="I373" s="47"/>
      <c r="J373" s="47"/>
      <c r="K373" s="47"/>
      <c r="L373" s="47"/>
      <c r="M373" s="47"/>
      <c r="N373" s="47"/>
      <c r="O373" s="47"/>
      <c r="P373" s="47"/>
      <c r="Q373" s="47"/>
      <c r="R373" s="47"/>
      <c r="S373" s="47"/>
      <c r="T373" s="47"/>
    </row>
    <row r="374" spans="1:20" x14ac:dyDescent="0.35">
      <c r="A374" s="21"/>
      <c r="B374" s="21"/>
      <c r="C374" s="17"/>
      <c r="D374" s="21" t="s">
        <v>77</v>
      </c>
      <c r="E374" s="21" t="s">
        <v>20</v>
      </c>
      <c r="F374" s="17"/>
      <c r="G374" s="17">
        <v>1</v>
      </c>
      <c r="H374" s="93"/>
    </row>
    <row r="375" spans="1:20" x14ac:dyDescent="0.35">
      <c r="A375" s="21"/>
      <c r="B375" s="21"/>
      <c r="C375" s="17"/>
      <c r="D375" s="21" t="s">
        <v>91</v>
      </c>
      <c r="E375" s="21" t="s">
        <v>27</v>
      </c>
      <c r="F375" s="17"/>
      <c r="G375" s="17">
        <v>1</v>
      </c>
      <c r="H375" s="93"/>
    </row>
    <row r="376" spans="1:20" x14ac:dyDescent="0.35">
      <c r="A376" s="21"/>
      <c r="B376" s="21"/>
      <c r="C376" s="17"/>
      <c r="D376" s="21" t="s">
        <v>105</v>
      </c>
      <c r="E376" s="21" t="s">
        <v>67</v>
      </c>
      <c r="F376" s="17"/>
      <c r="G376" s="17">
        <v>1</v>
      </c>
      <c r="H376" s="93"/>
    </row>
    <row r="377" spans="1:20" x14ac:dyDescent="0.35">
      <c r="A377" s="21"/>
      <c r="B377" s="21"/>
      <c r="C377" s="17"/>
      <c r="D377" s="21" t="s">
        <v>282</v>
      </c>
      <c r="E377" s="21" t="s">
        <v>283</v>
      </c>
      <c r="F377" s="17"/>
      <c r="G377" s="17">
        <v>1</v>
      </c>
      <c r="H377" s="93"/>
    </row>
    <row r="378" spans="1:20" x14ac:dyDescent="0.35">
      <c r="A378" s="21"/>
      <c r="B378" s="21"/>
      <c r="C378" s="17"/>
      <c r="D378" s="21" t="s">
        <v>143</v>
      </c>
      <c r="E378" s="21" t="s">
        <v>287</v>
      </c>
      <c r="F378" s="17"/>
      <c r="G378" s="17">
        <v>1</v>
      </c>
      <c r="H378" s="93"/>
    </row>
    <row r="379" spans="1:20" x14ac:dyDescent="0.35">
      <c r="A379" s="21"/>
      <c r="B379" s="21"/>
      <c r="C379" s="17"/>
      <c r="D379" s="21" t="s">
        <v>88</v>
      </c>
      <c r="E379" s="21" t="s">
        <v>352</v>
      </c>
      <c r="F379" s="17"/>
      <c r="G379" s="17">
        <v>1</v>
      </c>
      <c r="H379" s="93"/>
    </row>
    <row r="380" spans="1:20" x14ac:dyDescent="0.35">
      <c r="A380" s="21"/>
      <c r="B380" s="21"/>
      <c r="C380" s="17"/>
      <c r="D380" s="21" t="s">
        <v>87</v>
      </c>
      <c r="E380" s="21" t="s">
        <v>419</v>
      </c>
      <c r="F380" s="17"/>
      <c r="G380" s="17">
        <v>1</v>
      </c>
      <c r="H380" s="93"/>
    </row>
    <row r="381" spans="1:20" x14ac:dyDescent="0.35">
      <c r="A381" s="21"/>
      <c r="B381" s="21"/>
      <c r="C381" s="17"/>
      <c r="D381" s="21" t="s">
        <v>81</v>
      </c>
      <c r="E381" s="21" t="s">
        <v>496</v>
      </c>
      <c r="F381" s="17"/>
      <c r="G381" s="17">
        <v>1</v>
      </c>
      <c r="H381" s="93"/>
    </row>
    <row r="382" spans="1:20" s="76" customFormat="1" ht="21.75" thickBot="1" x14ac:dyDescent="0.4">
      <c r="A382" s="48"/>
      <c r="B382" s="48"/>
      <c r="C382" s="49"/>
      <c r="D382" s="48"/>
      <c r="E382" s="48"/>
      <c r="F382" s="49"/>
      <c r="G382" s="49"/>
      <c r="H382" s="94"/>
      <c r="I382" s="49"/>
      <c r="J382" s="49"/>
      <c r="K382" s="49"/>
      <c r="L382" s="49"/>
      <c r="M382" s="49"/>
      <c r="N382" s="49"/>
      <c r="O382" s="49"/>
      <c r="P382" s="49"/>
      <c r="Q382" s="49"/>
      <c r="R382" s="49"/>
      <c r="S382" s="49"/>
      <c r="T382" s="49"/>
    </row>
    <row r="383" spans="1:20" x14ac:dyDescent="0.35">
      <c r="A383" s="46" t="s">
        <v>309</v>
      </c>
      <c r="B383" s="46" t="s">
        <v>490</v>
      </c>
      <c r="C383" s="53">
        <v>4947</v>
      </c>
      <c r="D383" s="46" t="s">
        <v>217</v>
      </c>
      <c r="E383" s="46" t="s">
        <v>218</v>
      </c>
      <c r="F383" s="17" t="s">
        <v>495</v>
      </c>
      <c r="G383" s="47">
        <v>1</v>
      </c>
      <c r="H383" s="95">
        <v>46150</v>
      </c>
      <c r="I383" s="47"/>
      <c r="J383" s="47"/>
      <c r="K383" s="47"/>
      <c r="L383" s="47"/>
      <c r="M383" s="47"/>
      <c r="N383" s="47"/>
      <c r="O383" s="47"/>
      <c r="P383" s="47"/>
      <c r="Q383" s="47"/>
      <c r="R383" s="47"/>
      <c r="S383" s="47"/>
      <c r="T383" s="47"/>
    </row>
    <row r="384" spans="1:20" x14ac:dyDescent="0.35">
      <c r="A384" s="21"/>
      <c r="B384" s="21"/>
      <c r="C384" s="17"/>
      <c r="D384" s="21" t="s">
        <v>84</v>
      </c>
      <c r="E384" s="21" t="s">
        <v>13</v>
      </c>
      <c r="F384" s="17"/>
      <c r="G384" s="17">
        <v>1</v>
      </c>
      <c r="H384" s="93"/>
    </row>
    <row r="385" spans="1:20" x14ac:dyDescent="0.35">
      <c r="A385" s="21"/>
      <c r="B385" s="21"/>
      <c r="C385" s="17"/>
      <c r="D385" s="21" t="s">
        <v>276</v>
      </c>
      <c r="E385" s="21" t="s">
        <v>277</v>
      </c>
      <c r="F385" s="17"/>
      <c r="G385" s="17">
        <v>1</v>
      </c>
      <c r="H385" s="93"/>
      <c r="L385" s="17">
        <v>1</v>
      </c>
    </row>
    <row r="386" spans="1:20" x14ac:dyDescent="0.35">
      <c r="A386" s="21"/>
      <c r="B386" s="21"/>
      <c r="C386" s="17"/>
      <c r="D386" s="21" t="s">
        <v>497</v>
      </c>
      <c r="E386" s="21" t="s">
        <v>498</v>
      </c>
      <c r="F386" s="17"/>
      <c r="G386" s="17">
        <v>40</v>
      </c>
      <c r="H386" s="93"/>
    </row>
    <row r="387" spans="1:20" x14ac:dyDescent="0.35">
      <c r="A387" s="21"/>
      <c r="B387" s="21"/>
      <c r="C387" s="17"/>
      <c r="D387" s="21" t="s">
        <v>310</v>
      </c>
      <c r="E387" s="21" t="s">
        <v>311</v>
      </c>
      <c r="F387" s="17"/>
      <c r="G387" s="17">
        <v>1</v>
      </c>
      <c r="H387" s="93"/>
    </row>
    <row r="388" spans="1:20" x14ac:dyDescent="0.35">
      <c r="A388" s="21"/>
      <c r="B388" s="21"/>
      <c r="C388" s="17"/>
      <c r="D388" s="21" t="s">
        <v>499</v>
      </c>
      <c r="E388" s="21" t="s">
        <v>500</v>
      </c>
      <c r="F388" s="17"/>
      <c r="G388" s="17">
        <v>1</v>
      </c>
      <c r="H388" s="93"/>
    </row>
    <row r="389" spans="1:20" x14ac:dyDescent="0.35">
      <c r="A389" s="21"/>
      <c r="B389" s="21"/>
      <c r="C389" s="17"/>
      <c r="D389" s="21" t="s">
        <v>312</v>
      </c>
      <c r="E389" s="21" t="s">
        <v>313</v>
      </c>
      <c r="G389" s="17">
        <v>4</v>
      </c>
      <c r="H389" s="93"/>
    </row>
    <row r="390" spans="1:20" s="76" customFormat="1" ht="21.75" thickBot="1" x14ac:dyDescent="0.4">
      <c r="A390" s="48"/>
      <c r="B390" s="48"/>
      <c r="C390" s="49"/>
      <c r="D390" s="48"/>
      <c r="E390" s="48"/>
      <c r="F390" s="49"/>
      <c r="G390" s="49"/>
      <c r="H390" s="94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</row>
    <row r="391" spans="1:20" x14ac:dyDescent="0.35">
      <c r="A391" s="46" t="s">
        <v>74</v>
      </c>
      <c r="B391" s="46" t="s">
        <v>226</v>
      </c>
      <c r="C391" s="47">
        <v>4948</v>
      </c>
      <c r="D391" s="46" t="s">
        <v>76</v>
      </c>
      <c r="E391" s="46" t="s">
        <v>150</v>
      </c>
      <c r="F391" s="19" t="s">
        <v>347</v>
      </c>
      <c r="G391" s="47">
        <v>2</v>
      </c>
      <c r="H391" s="95">
        <v>46150</v>
      </c>
      <c r="I391" s="47"/>
      <c r="J391" s="47"/>
      <c r="K391" s="47"/>
      <c r="L391" s="47"/>
      <c r="M391" s="47">
        <v>1</v>
      </c>
      <c r="N391" s="47"/>
      <c r="O391" s="47"/>
      <c r="P391" s="47"/>
      <c r="Q391" s="47"/>
      <c r="R391" s="47"/>
      <c r="S391" s="47"/>
      <c r="T391" s="47"/>
    </row>
    <row r="392" spans="1:20" x14ac:dyDescent="0.35">
      <c r="A392" s="21"/>
      <c r="B392" s="21"/>
      <c r="C392" s="17"/>
      <c r="D392" s="21" t="s">
        <v>103</v>
      </c>
      <c r="E392" s="21" t="s">
        <v>70</v>
      </c>
      <c r="F392" s="17"/>
      <c r="G392" s="17">
        <v>2</v>
      </c>
      <c r="H392" s="93"/>
      <c r="M392" s="47">
        <v>2</v>
      </c>
    </row>
    <row r="393" spans="1:20" x14ac:dyDescent="0.35">
      <c r="A393" s="21"/>
      <c r="B393" s="21"/>
      <c r="C393" s="17"/>
      <c r="D393" s="21" t="s">
        <v>77</v>
      </c>
      <c r="E393" s="21" t="s">
        <v>20</v>
      </c>
      <c r="F393" s="17"/>
      <c r="G393" s="17">
        <v>2</v>
      </c>
      <c r="H393" s="93"/>
    </row>
    <row r="394" spans="1:20" x14ac:dyDescent="0.35">
      <c r="A394" s="21"/>
      <c r="B394" s="21"/>
      <c r="C394" s="17"/>
      <c r="D394" s="21" t="s">
        <v>93</v>
      </c>
      <c r="E394" s="21" t="s">
        <v>14</v>
      </c>
      <c r="F394" s="17"/>
      <c r="G394" s="17">
        <v>2</v>
      </c>
      <c r="H394" s="93"/>
      <c r="J394" s="17">
        <v>2</v>
      </c>
    </row>
    <row r="395" spans="1:20" x14ac:dyDescent="0.35">
      <c r="A395" s="21"/>
      <c r="B395" s="21"/>
      <c r="C395" s="17"/>
      <c r="D395" s="21" t="s">
        <v>87</v>
      </c>
      <c r="E395" s="21" t="s">
        <v>21</v>
      </c>
      <c r="F395" s="17"/>
      <c r="G395" s="17">
        <v>2</v>
      </c>
      <c r="H395" s="93"/>
      <c r="J395" s="17">
        <v>2</v>
      </c>
    </row>
    <row r="396" spans="1:20" x14ac:dyDescent="0.35">
      <c r="A396" s="21"/>
      <c r="B396" s="21"/>
      <c r="C396" s="17"/>
      <c r="D396" s="21" t="s">
        <v>123</v>
      </c>
      <c r="E396" s="21" t="s">
        <v>25</v>
      </c>
      <c r="F396" s="17"/>
      <c r="G396" s="17">
        <v>2</v>
      </c>
      <c r="H396" s="93"/>
      <c r="J396" s="17">
        <v>2</v>
      </c>
    </row>
    <row r="397" spans="1:20" x14ac:dyDescent="0.35">
      <c r="A397" s="21"/>
      <c r="B397" s="21"/>
      <c r="C397" s="17"/>
      <c r="D397" s="21" t="s">
        <v>79</v>
      </c>
      <c r="E397" s="89" t="s">
        <v>73</v>
      </c>
      <c r="F397" s="17"/>
      <c r="G397" s="17">
        <v>2</v>
      </c>
      <c r="H397" s="93"/>
      <c r="J397" s="17">
        <v>2</v>
      </c>
    </row>
    <row r="398" spans="1:20" x14ac:dyDescent="0.35">
      <c r="A398" s="21"/>
      <c r="B398" s="21"/>
      <c r="C398" s="17"/>
      <c r="D398" s="21" t="s">
        <v>75</v>
      </c>
      <c r="E398" s="21" t="s">
        <v>55</v>
      </c>
      <c r="F398" s="17"/>
      <c r="G398" s="17">
        <v>2</v>
      </c>
      <c r="H398" s="93"/>
      <c r="J398" s="17">
        <v>2</v>
      </c>
    </row>
    <row r="399" spans="1:20" x14ac:dyDescent="0.35">
      <c r="A399" s="21"/>
      <c r="B399" s="21"/>
      <c r="C399" s="17"/>
      <c r="D399" s="21" t="s">
        <v>176</v>
      </c>
      <c r="E399" s="21" t="s">
        <v>177</v>
      </c>
      <c r="F399" s="17"/>
      <c r="G399" s="17">
        <v>48</v>
      </c>
      <c r="H399" s="93"/>
    </row>
    <row r="400" spans="1:20" s="76" customFormat="1" ht="21.75" thickBot="1" x14ac:dyDescent="0.4">
      <c r="A400" s="48"/>
      <c r="B400" s="48"/>
      <c r="C400" s="49"/>
      <c r="D400" s="48"/>
      <c r="E400" s="48"/>
      <c r="F400" s="49"/>
      <c r="G400" s="49"/>
      <c r="H400" s="94"/>
      <c r="I400" s="49"/>
      <c r="J400" s="49"/>
      <c r="K400" s="49"/>
      <c r="L400" s="49"/>
      <c r="M400" s="49"/>
      <c r="N400" s="49"/>
      <c r="O400" s="49"/>
      <c r="P400" s="49"/>
      <c r="Q400" s="49"/>
      <c r="R400" s="49"/>
      <c r="S400" s="49"/>
      <c r="T400" s="49"/>
    </row>
    <row r="401" spans="1:20" x14ac:dyDescent="0.35">
      <c r="A401" s="46" t="s">
        <v>74</v>
      </c>
      <c r="B401" s="46" t="s">
        <v>226</v>
      </c>
      <c r="C401" s="47">
        <v>4949</v>
      </c>
      <c r="D401" s="46" t="s">
        <v>76</v>
      </c>
      <c r="E401" s="46" t="s">
        <v>150</v>
      </c>
      <c r="F401" s="19" t="s">
        <v>347</v>
      </c>
      <c r="G401" s="47">
        <v>3</v>
      </c>
      <c r="H401" s="95">
        <v>46150</v>
      </c>
      <c r="I401" s="47"/>
      <c r="J401" s="47"/>
      <c r="K401" s="47"/>
      <c r="L401" s="47"/>
      <c r="M401" s="47">
        <v>1.5</v>
      </c>
      <c r="N401" s="47"/>
      <c r="O401" s="47"/>
      <c r="P401" s="47"/>
      <c r="Q401" s="47"/>
      <c r="R401" s="47"/>
      <c r="S401" s="47"/>
      <c r="T401" s="47"/>
    </row>
    <row r="402" spans="1:20" x14ac:dyDescent="0.35">
      <c r="A402" s="21"/>
      <c r="B402" s="21"/>
      <c r="C402" s="17"/>
      <c r="D402" s="21" t="s">
        <v>103</v>
      </c>
      <c r="E402" s="21" t="s">
        <v>70</v>
      </c>
      <c r="F402" s="17"/>
      <c r="G402" s="17">
        <v>3</v>
      </c>
      <c r="H402" s="93"/>
      <c r="M402" s="17">
        <v>3</v>
      </c>
    </row>
    <row r="403" spans="1:20" x14ac:dyDescent="0.35">
      <c r="A403" s="21"/>
      <c r="B403" s="21"/>
      <c r="C403" s="17"/>
      <c r="D403" s="21" t="s">
        <v>77</v>
      </c>
      <c r="E403" s="21" t="s">
        <v>20</v>
      </c>
      <c r="F403" s="17"/>
      <c r="G403" s="17">
        <v>3</v>
      </c>
      <c r="H403" s="93"/>
    </row>
    <row r="404" spans="1:20" x14ac:dyDescent="0.35">
      <c r="A404" s="21"/>
      <c r="B404" s="21"/>
      <c r="C404" s="17"/>
      <c r="D404" s="21" t="s">
        <v>78</v>
      </c>
      <c r="E404" s="21" t="s">
        <v>16</v>
      </c>
      <c r="F404" s="17"/>
      <c r="G404" s="17">
        <v>3</v>
      </c>
      <c r="H404" s="93"/>
    </row>
    <row r="405" spans="1:20" x14ac:dyDescent="0.35">
      <c r="A405" s="21"/>
      <c r="B405" s="21"/>
      <c r="C405" s="17"/>
      <c r="D405" s="21" t="s">
        <v>83</v>
      </c>
      <c r="E405" s="21" t="s">
        <v>12</v>
      </c>
      <c r="F405" s="17"/>
      <c r="G405" s="17">
        <v>3</v>
      </c>
      <c r="H405" s="93"/>
    </row>
    <row r="406" spans="1:20" x14ac:dyDescent="0.35">
      <c r="A406" s="21"/>
      <c r="B406" s="21"/>
      <c r="C406" s="17"/>
      <c r="D406" s="21" t="s">
        <v>84</v>
      </c>
      <c r="E406" s="21" t="s">
        <v>13</v>
      </c>
      <c r="F406" s="17"/>
      <c r="G406" s="17">
        <v>3</v>
      </c>
      <c r="H406" s="93"/>
    </row>
    <row r="407" spans="1:20" x14ac:dyDescent="0.35">
      <c r="A407" s="21"/>
      <c r="B407" s="21"/>
      <c r="C407" s="17"/>
      <c r="D407" s="21" t="s">
        <v>391</v>
      </c>
      <c r="E407" s="21" t="s">
        <v>501</v>
      </c>
      <c r="F407" s="17"/>
      <c r="G407" s="17">
        <v>3</v>
      </c>
      <c r="H407" s="93"/>
      <c r="J407" s="17">
        <v>3</v>
      </c>
    </row>
    <row r="408" spans="1:20" x14ac:dyDescent="0.35">
      <c r="A408" s="21"/>
      <c r="B408" s="21"/>
      <c r="C408" s="17"/>
      <c r="D408" s="21" t="s">
        <v>87</v>
      </c>
      <c r="E408" s="21" t="s">
        <v>21</v>
      </c>
      <c r="F408" s="17"/>
      <c r="G408" s="17">
        <v>3</v>
      </c>
      <c r="H408" s="93"/>
      <c r="J408" s="17">
        <v>3</v>
      </c>
    </row>
    <row r="409" spans="1:20" x14ac:dyDescent="0.35">
      <c r="A409" s="21"/>
      <c r="B409" s="21"/>
      <c r="C409" s="17"/>
      <c r="D409" s="21" t="s">
        <v>129</v>
      </c>
      <c r="E409" s="21" t="s">
        <v>130</v>
      </c>
      <c r="F409" s="17"/>
      <c r="G409" s="17">
        <v>3</v>
      </c>
      <c r="H409" s="93"/>
      <c r="J409" s="17">
        <v>3</v>
      </c>
    </row>
    <row r="410" spans="1:20" x14ac:dyDescent="0.35">
      <c r="A410" s="21"/>
      <c r="B410" s="21"/>
      <c r="C410" s="17"/>
      <c r="D410" s="21" t="s">
        <v>79</v>
      </c>
      <c r="E410" s="21" t="s">
        <v>429</v>
      </c>
      <c r="F410" s="17"/>
      <c r="G410" s="17">
        <v>3</v>
      </c>
      <c r="H410" s="93"/>
      <c r="J410" s="17">
        <v>3</v>
      </c>
    </row>
    <row r="411" spans="1:20" x14ac:dyDescent="0.35">
      <c r="A411" s="21"/>
      <c r="B411" s="21"/>
      <c r="C411" s="17"/>
      <c r="D411" s="21" t="s">
        <v>75</v>
      </c>
      <c r="E411" s="21" t="s">
        <v>502</v>
      </c>
      <c r="F411" s="17"/>
      <c r="G411" s="17">
        <v>3</v>
      </c>
      <c r="H411" s="93"/>
      <c r="J411" s="17">
        <v>3</v>
      </c>
    </row>
    <row r="412" spans="1:20" x14ac:dyDescent="0.35">
      <c r="A412" s="21"/>
      <c r="B412" s="21"/>
      <c r="C412" s="17"/>
      <c r="D412" s="21" t="s">
        <v>453</v>
      </c>
      <c r="E412" s="21" t="s">
        <v>503</v>
      </c>
      <c r="F412" s="17"/>
      <c r="G412" s="17">
        <v>3</v>
      </c>
      <c r="H412" s="93"/>
      <c r="M412" s="17">
        <v>3</v>
      </c>
    </row>
    <row r="413" spans="1:20" x14ac:dyDescent="0.35">
      <c r="A413" s="21"/>
      <c r="B413" s="21"/>
      <c r="C413" s="17"/>
      <c r="D413" s="21" t="s">
        <v>176</v>
      </c>
      <c r="E413" s="21" t="s">
        <v>177</v>
      </c>
      <c r="G413" s="17">
        <v>72</v>
      </c>
      <c r="H413" s="93"/>
    </row>
    <row r="414" spans="1:20" s="76" customFormat="1" ht="21.75" thickBot="1" x14ac:dyDescent="0.4">
      <c r="A414" s="48"/>
      <c r="B414" s="48"/>
      <c r="C414" s="49"/>
      <c r="D414" s="48"/>
      <c r="E414" s="48"/>
      <c r="F414" s="49"/>
      <c r="G414" s="49"/>
      <c r="H414" s="94"/>
      <c r="I414" s="49"/>
      <c r="J414" s="49"/>
      <c r="K414" s="49"/>
      <c r="L414" s="49"/>
      <c r="M414" s="49"/>
      <c r="N414" s="49"/>
      <c r="O414" s="49"/>
      <c r="P414" s="49"/>
      <c r="Q414" s="49"/>
      <c r="R414" s="49"/>
      <c r="S414" s="49"/>
      <c r="T414" s="49"/>
    </row>
    <row r="415" spans="1:20" x14ac:dyDescent="0.35">
      <c r="A415" s="46" t="s">
        <v>504</v>
      </c>
      <c r="B415" s="46" t="s">
        <v>505</v>
      </c>
      <c r="C415" s="53">
        <v>4950</v>
      </c>
      <c r="D415" s="46"/>
      <c r="E415" s="46" t="s">
        <v>506</v>
      </c>
      <c r="F415" s="19" t="s">
        <v>509</v>
      </c>
      <c r="G415" s="47">
        <v>2</v>
      </c>
      <c r="H415" s="95">
        <v>46153</v>
      </c>
      <c r="I415" s="47"/>
      <c r="J415" s="47"/>
      <c r="K415" s="47"/>
      <c r="L415" s="47"/>
      <c r="M415" s="47">
        <v>1</v>
      </c>
      <c r="N415" s="47"/>
      <c r="O415" s="47"/>
      <c r="P415" s="47"/>
      <c r="Q415" s="47"/>
      <c r="R415" s="47"/>
      <c r="S415" s="47"/>
      <c r="T415" s="47"/>
    </row>
    <row r="416" spans="1:20" x14ac:dyDescent="0.35">
      <c r="A416" s="21"/>
      <c r="B416" s="21"/>
      <c r="C416" s="17"/>
      <c r="D416" s="21" t="s">
        <v>507</v>
      </c>
      <c r="E416" s="21" t="s">
        <v>508</v>
      </c>
      <c r="F416" s="17"/>
      <c r="G416" s="17">
        <v>2</v>
      </c>
      <c r="H416" s="93"/>
      <c r="M416" s="17">
        <v>2</v>
      </c>
    </row>
    <row r="417" spans="1:20" x14ac:dyDescent="0.35">
      <c r="A417" s="21"/>
      <c r="B417" s="21"/>
      <c r="C417" s="17"/>
      <c r="D417" s="21" t="s">
        <v>77</v>
      </c>
      <c r="E417" s="21" t="s">
        <v>20</v>
      </c>
      <c r="F417" s="17"/>
      <c r="G417" s="17">
        <v>2</v>
      </c>
      <c r="H417" s="93"/>
    </row>
    <row r="418" spans="1:20" x14ac:dyDescent="0.35">
      <c r="A418" s="21"/>
      <c r="B418" s="21"/>
      <c r="C418" s="17"/>
      <c r="D418" s="21" t="s">
        <v>350</v>
      </c>
      <c r="E418" s="21" t="s">
        <v>351</v>
      </c>
      <c r="F418" s="17"/>
      <c r="G418" s="17">
        <v>2</v>
      </c>
      <c r="H418" s="93"/>
      <c r="J418" s="17">
        <v>2</v>
      </c>
    </row>
    <row r="419" spans="1:20" x14ac:dyDescent="0.35">
      <c r="A419" s="21"/>
      <c r="B419" s="21"/>
      <c r="C419" s="17"/>
      <c r="D419" s="21" t="s">
        <v>87</v>
      </c>
      <c r="E419" s="21" t="s">
        <v>21</v>
      </c>
      <c r="F419" s="17"/>
      <c r="G419" s="17">
        <v>2</v>
      </c>
      <c r="H419" s="93"/>
      <c r="J419" s="17">
        <v>2</v>
      </c>
    </row>
    <row r="420" spans="1:20" x14ac:dyDescent="0.35">
      <c r="A420" s="21"/>
      <c r="B420" s="21"/>
      <c r="C420" s="17"/>
      <c r="D420" s="21" t="s">
        <v>79</v>
      </c>
      <c r="E420" s="21" t="s">
        <v>73</v>
      </c>
      <c r="F420" s="17"/>
      <c r="G420" s="17">
        <v>2</v>
      </c>
      <c r="H420" s="93"/>
      <c r="J420" s="17">
        <v>2</v>
      </c>
    </row>
    <row r="421" spans="1:20" x14ac:dyDescent="0.35">
      <c r="A421" s="21"/>
      <c r="B421" s="21"/>
      <c r="C421" s="17"/>
      <c r="D421" s="21" t="s">
        <v>404</v>
      </c>
      <c r="E421" s="21" t="s">
        <v>405</v>
      </c>
      <c r="F421" s="17"/>
      <c r="G421" s="17">
        <v>2</v>
      </c>
      <c r="H421" s="93"/>
      <c r="J421" s="17">
        <v>2</v>
      </c>
    </row>
    <row r="422" spans="1:20" x14ac:dyDescent="0.35">
      <c r="A422" s="21"/>
      <c r="B422" s="21"/>
      <c r="C422" s="17"/>
      <c r="D422" s="21" t="s">
        <v>212</v>
      </c>
      <c r="E422" s="21" t="s">
        <v>213</v>
      </c>
      <c r="G422" s="17">
        <v>2</v>
      </c>
      <c r="H422" s="93"/>
    </row>
    <row r="423" spans="1:20" s="76" customFormat="1" ht="21.75" thickBot="1" x14ac:dyDescent="0.4">
      <c r="A423" s="48"/>
      <c r="B423" s="48"/>
      <c r="C423" s="49"/>
      <c r="D423" s="48"/>
      <c r="E423" s="48"/>
      <c r="F423" s="49"/>
      <c r="G423" s="49"/>
      <c r="H423" s="94"/>
      <c r="I423" s="49"/>
      <c r="J423" s="49"/>
      <c r="K423" s="49"/>
      <c r="L423" s="49"/>
      <c r="M423" s="49"/>
      <c r="N423" s="49"/>
      <c r="O423" s="49"/>
      <c r="P423" s="49"/>
      <c r="Q423" s="49"/>
      <c r="R423" s="49"/>
      <c r="S423" s="49"/>
      <c r="T423" s="49"/>
    </row>
    <row r="424" spans="1:20" x14ac:dyDescent="0.35">
      <c r="A424" s="46" t="s">
        <v>11</v>
      </c>
      <c r="B424" s="46" t="s">
        <v>163</v>
      </c>
      <c r="C424" s="53">
        <v>4951</v>
      </c>
      <c r="D424" s="46" t="s">
        <v>108</v>
      </c>
      <c r="E424" s="46" t="s">
        <v>510</v>
      </c>
      <c r="F424" s="19" t="s">
        <v>511</v>
      </c>
      <c r="G424" s="47">
        <v>1</v>
      </c>
      <c r="H424" s="95">
        <v>46153</v>
      </c>
      <c r="I424" s="47"/>
      <c r="J424" s="47"/>
      <c r="K424" s="47">
        <v>1</v>
      </c>
      <c r="L424" s="47"/>
      <c r="M424" s="47"/>
      <c r="N424" s="47"/>
      <c r="O424" s="47"/>
      <c r="P424" s="47"/>
      <c r="Q424" s="47"/>
      <c r="R424" s="47"/>
      <c r="S424" s="47"/>
      <c r="T424" s="47"/>
    </row>
    <row r="425" spans="1:20" s="76" customFormat="1" ht="21.75" thickBot="1" x14ac:dyDescent="0.4">
      <c r="A425" s="48"/>
      <c r="B425" s="48"/>
      <c r="C425" s="49"/>
      <c r="D425" s="48"/>
      <c r="E425" s="48"/>
      <c r="F425" s="49"/>
      <c r="G425" s="49"/>
      <c r="H425" s="94"/>
      <c r="I425" s="49"/>
      <c r="J425" s="49"/>
      <c r="K425" s="49"/>
      <c r="L425" s="49"/>
      <c r="M425" s="49"/>
      <c r="N425" s="49"/>
      <c r="O425" s="49"/>
      <c r="P425" s="49"/>
      <c r="Q425" s="49"/>
      <c r="R425" s="49"/>
      <c r="S425" s="49"/>
      <c r="T425" s="49"/>
    </row>
    <row r="426" spans="1:20" x14ac:dyDescent="0.35">
      <c r="A426" s="46" t="s">
        <v>512</v>
      </c>
      <c r="B426" s="46" t="s">
        <v>513</v>
      </c>
      <c r="C426" s="51">
        <v>4952</v>
      </c>
      <c r="D426" s="46" t="s">
        <v>132</v>
      </c>
      <c r="E426" s="46" t="s">
        <v>133</v>
      </c>
      <c r="F426" s="47" t="s">
        <v>514</v>
      </c>
      <c r="G426" s="47">
        <v>3</v>
      </c>
      <c r="H426" s="95">
        <v>46153</v>
      </c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</row>
    <row r="427" spans="1:20" x14ac:dyDescent="0.35">
      <c r="A427" s="21"/>
      <c r="B427" s="21"/>
      <c r="C427" s="17"/>
      <c r="D427" s="21" t="s">
        <v>77</v>
      </c>
      <c r="E427" s="21" t="s">
        <v>20</v>
      </c>
      <c r="F427" s="87" t="s">
        <v>609</v>
      </c>
      <c r="G427" s="17">
        <v>3</v>
      </c>
      <c r="H427" s="93"/>
    </row>
    <row r="428" spans="1:20" s="76" customFormat="1" ht="21.75" thickBot="1" x14ac:dyDescent="0.4">
      <c r="A428" s="48"/>
      <c r="B428" s="48"/>
      <c r="C428" s="49"/>
      <c r="D428" s="48"/>
      <c r="E428" s="48"/>
      <c r="F428" s="49"/>
      <c r="G428" s="49"/>
      <c r="H428" s="94"/>
      <c r="I428" s="49"/>
      <c r="J428" s="49"/>
      <c r="K428" s="49"/>
      <c r="L428" s="49"/>
      <c r="M428" s="49"/>
      <c r="N428" s="49"/>
      <c r="O428" s="49"/>
      <c r="P428" s="49"/>
      <c r="Q428" s="49"/>
      <c r="R428" s="49"/>
      <c r="S428" s="49"/>
      <c r="T428" s="49"/>
    </row>
    <row r="429" spans="1:20" x14ac:dyDescent="0.35">
      <c r="A429" s="46" t="s">
        <v>446</v>
      </c>
      <c r="B429" s="46" t="s">
        <v>220</v>
      </c>
      <c r="C429" s="53">
        <v>4953</v>
      </c>
      <c r="D429" s="46" t="s">
        <v>123</v>
      </c>
      <c r="E429" s="46" t="s">
        <v>25</v>
      </c>
      <c r="F429" s="19" t="s">
        <v>28</v>
      </c>
      <c r="G429" s="47">
        <v>1</v>
      </c>
      <c r="H429" s="95">
        <v>46154</v>
      </c>
      <c r="I429" s="47"/>
      <c r="J429" s="47">
        <v>1</v>
      </c>
      <c r="K429" s="47"/>
      <c r="L429" s="47"/>
      <c r="M429" s="47"/>
      <c r="N429" s="47"/>
      <c r="O429" s="47"/>
      <c r="P429" s="47"/>
      <c r="Q429" s="47"/>
      <c r="R429" s="47"/>
      <c r="S429" s="47"/>
      <c r="T429" s="47"/>
    </row>
    <row r="430" spans="1:20" x14ac:dyDescent="0.35">
      <c r="A430" s="21"/>
      <c r="B430" s="21"/>
      <c r="C430" s="17"/>
      <c r="D430" s="21" t="s">
        <v>85</v>
      </c>
      <c r="E430" s="21" t="s">
        <v>22</v>
      </c>
      <c r="F430" s="17"/>
      <c r="G430" s="17">
        <v>1</v>
      </c>
      <c r="H430" s="93"/>
      <c r="J430" s="47">
        <v>1</v>
      </c>
    </row>
    <row r="431" spans="1:20" x14ac:dyDescent="0.35">
      <c r="A431" s="21"/>
      <c r="B431" s="21"/>
      <c r="C431" s="17"/>
      <c r="D431" s="21" t="s">
        <v>262</v>
      </c>
      <c r="E431" s="21" t="s">
        <v>263</v>
      </c>
      <c r="F431" s="17"/>
      <c r="G431" s="17">
        <v>1</v>
      </c>
      <c r="H431" s="93"/>
      <c r="J431" s="47">
        <v>1</v>
      </c>
    </row>
    <row r="432" spans="1:20" x14ac:dyDescent="0.35">
      <c r="A432" s="21"/>
      <c r="B432" s="21"/>
      <c r="C432" s="17"/>
      <c r="D432" s="21" t="s">
        <v>176</v>
      </c>
      <c r="E432" s="21" t="s">
        <v>177</v>
      </c>
      <c r="F432" s="17"/>
      <c r="G432" s="17">
        <v>24</v>
      </c>
      <c r="H432" s="93"/>
    </row>
    <row r="433" spans="1:20" x14ac:dyDescent="0.35">
      <c r="A433" s="21"/>
      <c r="B433" s="21"/>
      <c r="C433" s="17"/>
      <c r="D433" s="21" t="s">
        <v>210</v>
      </c>
      <c r="E433" s="21" t="s">
        <v>211</v>
      </c>
      <c r="F433" s="17"/>
      <c r="G433" s="17">
        <v>1</v>
      </c>
      <c r="H433" s="93"/>
    </row>
    <row r="434" spans="1:20" x14ac:dyDescent="0.35">
      <c r="A434" s="21"/>
      <c r="B434" s="21"/>
      <c r="C434" s="17"/>
      <c r="D434" s="21" t="s">
        <v>515</v>
      </c>
      <c r="E434" s="21" t="s">
        <v>516</v>
      </c>
      <c r="F434" s="17"/>
      <c r="G434" s="17">
        <v>2</v>
      </c>
      <c r="H434" s="93"/>
    </row>
    <row r="435" spans="1:20" s="76" customFormat="1" ht="21.75" thickBot="1" x14ac:dyDescent="0.4">
      <c r="A435" s="48"/>
      <c r="B435" s="48"/>
      <c r="C435" s="49"/>
      <c r="D435" s="48"/>
      <c r="E435" s="48"/>
      <c r="F435" s="81"/>
      <c r="G435" s="49"/>
      <c r="H435" s="94"/>
      <c r="I435" s="49"/>
      <c r="J435" s="49"/>
      <c r="K435" s="49"/>
      <c r="L435" s="49"/>
      <c r="M435" s="49"/>
      <c r="N435" s="49"/>
      <c r="O435" s="49"/>
      <c r="P435" s="49"/>
      <c r="Q435" s="49"/>
      <c r="R435" s="49"/>
      <c r="S435" s="49"/>
      <c r="T435" s="49"/>
    </row>
    <row r="436" spans="1:20" x14ac:dyDescent="0.35">
      <c r="A436" s="46" t="s">
        <v>74</v>
      </c>
      <c r="B436" s="46" t="s">
        <v>226</v>
      </c>
      <c r="C436" s="53">
        <v>4954</v>
      </c>
      <c r="D436" s="46" t="s">
        <v>76</v>
      </c>
      <c r="E436" s="46" t="s">
        <v>150</v>
      </c>
      <c r="F436" s="19" t="s">
        <v>369</v>
      </c>
      <c r="G436" s="47">
        <v>1</v>
      </c>
      <c r="H436" s="95">
        <v>46154</v>
      </c>
      <c r="I436" s="47"/>
      <c r="J436" s="47"/>
      <c r="K436" s="47"/>
      <c r="L436" s="47">
        <v>0.25</v>
      </c>
      <c r="M436" s="47">
        <v>0.25</v>
      </c>
      <c r="N436" s="47"/>
      <c r="O436" s="47"/>
      <c r="P436" s="47"/>
      <c r="Q436" s="47"/>
      <c r="R436" s="47"/>
      <c r="S436" s="47"/>
      <c r="T436" s="47"/>
    </row>
    <row r="437" spans="1:20" x14ac:dyDescent="0.35">
      <c r="A437" s="21"/>
      <c r="B437" s="21"/>
      <c r="C437" s="17"/>
      <c r="D437" s="21" t="s">
        <v>80</v>
      </c>
      <c r="E437" s="21" t="s">
        <v>19</v>
      </c>
      <c r="F437" s="17"/>
      <c r="G437" s="17">
        <v>1</v>
      </c>
      <c r="H437" s="93"/>
      <c r="L437" s="17">
        <v>0.5</v>
      </c>
      <c r="M437" s="17">
        <v>0.5</v>
      </c>
    </row>
    <row r="438" spans="1:20" x14ac:dyDescent="0.35">
      <c r="A438" s="21"/>
      <c r="B438" s="88"/>
      <c r="C438" s="17"/>
      <c r="D438" s="21" t="s">
        <v>77</v>
      </c>
      <c r="E438" s="21" t="s">
        <v>20</v>
      </c>
      <c r="F438" s="17"/>
      <c r="G438" s="17">
        <v>1</v>
      </c>
      <c r="H438" s="93"/>
    </row>
    <row r="439" spans="1:20" x14ac:dyDescent="0.35">
      <c r="A439" s="21"/>
      <c r="B439" s="21"/>
      <c r="C439" s="17"/>
      <c r="D439" s="21" t="s">
        <v>227</v>
      </c>
      <c r="E439" s="21" t="s">
        <v>228</v>
      </c>
      <c r="F439" s="17"/>
      <c r="G439" s="17">
        <v>1</v>
      </c>
      <c r="H439" s="93"/>
      <c r="L439" s="17">
        <v>0.5</v>
      </c>
      <c r="M439" s="17">
        <v>0.5</v>
      </c>
    </row>
    <row r="440" spans="1:20" x14ac:dyDescent="0.35">
      <c r="A440" s="21"/>
      <c r="B440" s="21"/>
      <c r="C440" s="17"/>
      <c r="D440" s="21" t="s">
        <v>129</v>
      </c>
      <c r="E440" s="21" t="s">
        <v>130</v>
      </c>
      <c r="F440" s="17"/>
      <c r="G440" s="17">
        <v>1</v>
      </c>
      <c r="H440" s="93"/>
      <c r="L440" s="17">
        <v>0.5</v>
      </c>
      <c r="M440" s="17">
        <v>0.5</v>
      </c>
    </row>
    <row r="441" spans="1:20" x14ac:dyDescent="0.35">
      <c r="A441" s="21"/>
      <c r="B441" s="21"/>
      <c r="C441" s="17"/>
      <c r="D441" s="21" t="s">
        <v>87</v>
      </c>
      <c r="E441" s="21" t="s">
        <v>21</v>
      </c>
      <c r="F441" s="17"/>
      <c r="G441" s="17">
        <v>1</v>
      </c>
      <c r="H441" s="93"/>
      <c r="L441" s="17">
        <v>0.5</v>
      </c>
      <c r="M441" s="17">
        <v>0.5</v>
      </c>
    </row>
    <row r="442" spans="1:20" x14ac:dyDescent="0.35">
      <c r="A442" s="21"/>
      <c r="B442" s="21"/>
      <c r="C442" s="17"/>
      <c r="D442" s="21" t="s">
        <v>404</v>
      </c>
      <c r="E442" s="21" t="s">
        <v>405</v>
      </c>
      <c r="F442" s="17"/>
      <c r="G442" s="17">
        <v>1</v>
      </c>
      <c r="H442" s="93"/>
      <c r="L442" s="17">
        <v>0.5</v>
      </c>
      <c r="M442" s="17">
        <v>0.5</v>
      </c>
    </row>
    <row r="443" spans="1:20" s="76" customFormat="1" ht="21.75" thickBot="1" x14ac:dyDescent="0.4">
      <c r="A443" s="48"/>
      <c r="B443" s="48"/>
      <c r="C443" s="49"/>
      <c r="D443" s="48"/>
      <c r="E443" s="48"/>
      <c r="F443" s="49"/>
      <c r="G443" s="49"/>
      <c r="H443" s="94"/>
      <c r="I443" s="49"/>
      <c r="J443" s="49"/>
      <c r="K443" s="49"/>
      <c r="L443" s="49"/>
      <c r="M443" s="49"/>
      <c r="N443" s="49"/>
      <c r="O443" s="49"/>
      <c r="P443" s="49"/>
      <c r="Q443" s="49"/>
      <c r="R443" s="49"/>
      <c r="S443" s="49"/>
      <c r="T443" s="49"/>
    </row>
    <row r="444" spans="1:20" x14ac:dyDescent="0.35">
      <c r="A444" s="46" t="s">
        <v>136</v>
      </c>
      <c r="B444" s="46" t="s">
        <v>223</v>
      </c>
      <c r="C444" s="47">
        <v>4955</v>
      </c>
      <c r="D444" s="46" t="s">
        <v>76</v>
      </c>
      <c r="E444" s="46" t="s">
        <v>150</v>
      </c>
      <c r="F444" s="19" t="s">
        <v>440</v>
      </c>
      <c r="G444" s="47">
        <v>3</v>
      </c>
      <c r="H444" s="95">
        <v>46154</v>
      </c>
      <c r="I444" s="47"/>
      <c r="J444" s="47"/>
      <c r="K444" s="47"/>
      <c r="L444" s="47"/>
      <c r="M444" s="47">
        <v>1.5</v>
      </c>
      <c r="N444" s="47"/>
      <c r="O444" s="47"/>
      <c r="P444" s="47"/>
      <c r="Q444" s="47"/>
      <c r="R444" s="47"/>
      <c r="S444" s="47"/>
      <c r="T444" s="47"/>
    </row>
    <row r="445" spans="1:20" x14ac:dyDescent="0.35">
      <c r="A445" s="21"/>
      <c r="B445" s="21"/>
      <c r="C445" s="17"/>
      <c r="D445" s="21" t="s">
        <v>106</v>
      </c>
      <c r="E445" s="21" t="s">
        <v>69</v>
      </c>
      <c r="F445" s="17"/>
      <c r="G445" s="17">
        <v>3</v>
      </c>
      <c r="H445" s="93"/>
      <c r="M445" s="17">
        <v>3</v>
      </c>
    </row>
    <row r="446" spans="1:20" x14ac:dyDescent="0.35">
      <c r="A446" s="21"/>
      <c r="B446" s="21"/>
      <c r="C446" s="17"/>
      <c r="D446" s="21" t="s">
        <v>77</v>
      </c>
      <c r="E446" s="21" t="s">
        <v>20</v>
      </c>
      <c r="F446" s="17"/>
      <c r="G446" s="17">
        <v>3</v>
      </c>
      <c r="H446" s="93"/>
    </row>
    <row r="447" spans="1:20" x14ac:dyDescent="0.35">
      <c r="A447" s="21"/>
      <c r="B447" s="21"/>
      <c r="C447" s="17"/>
      <c r="D447" s="21" t="s">
        <v>93</v>
      </c>
      <c r="E447" s="21" t="s">
        <v>14</v>
      </c>
      <c r="F447" s="17"/>
      <c r="G447" s="17">
        <v>3</v>
      </c>
      <c r="H447" s="93"/>
      <c r="M447" s="17">
        <v>3</v>
      </c>
    </row>
    <row r="448" spans="1:20" x14ac:dyDescent="0.35">
      <c r="A448" s="21"/>
      <c r="B448" s="21"/>
      <c r="C448" s="17"/>
      <c r="D448" s="21" t="s">
        <v>87</v>
      </c>
      <c r="E448" s="21" t="s">
        <v>21</v>
      </c>
      <c r="F448" s="17"/>
      <c r="G448" s="17">
        <v>3</v>
      </c>
      <c r="H448" s="93"/>
      <c r="J448" s="17">
        <v>3</v>
      </c>
    </row>
    <row r="449" spans="1:20" x14ac:dyDescent="0.35">
      <c r="A449" s="21"/>
      <c r="B449" s="21"/>
      <c r="C449" s="17"/>
      <c r="D449" s="21" t="s">
        <v>75</v>
      </c>
      <c r="E449" s="21" t="s">
        <v>55</v>
      </c>
      <c r="F449" s="17"/>
      <c r="G449" s="17">
        <v>3</v>
      </c>
      <c r="H449" s="93"/>
      <c r="J449" s="17">
        <v>3</v>
      </c>
    </row>
    <row r="450" spans="1:20" x14ac:dyDescent="0.35">
      <c r="A450" s="21"/>
      <c r="B450" s="21"/>
      <c r="C450" s="17"/>
      <c r="D450" s="21" t="s">
        <v>96</v>
      </c>
      <c r="E450" s="21" t="s">
        <v>139</v>
      </c>
      <c r="F450" s="17"/>
      <c r="G450" s="17">
        <v>72</v>
      </c>
      <c r="H450" s="93"/>
    </row>
    <row r="451" spans="1:20" s="76" customFormat="1" ht="21.75" thickBot="1" x14ac:dyDescent="0.4">
      <c r="A451" s="48"/>
      <c r="B451" s="48"/>
      <c r="C451" s="49"/>
      <c r="D451" s="48"/>
      <c r="E451" s="48"/>
      <c r="F451" s="49"/>
      <c r="G451" s="49"/>
      <c r="H451" s="94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</row>
    <row r="452" spans="1:20" x14ac:dyDescent="0.35">
      <c r="A452" s="21" t="s">
        <v>136</v>
      </c>
      <c r="B452" s="21" t="s">
        <v>223</v>
      </c>
      <c r="C452" s="53">
        <v>4956</v>
      </c>
      <c r="D452" s="46" t="s">
        <v>159</v>
      </c>
      <c r="E452" s="46" t="s">
        <v>160</v>
      </c>
      <c r="F452" s="19" t="s">
        <v>526</v>
      </c>
      <c r="G452" s="47">
        <v>1</v>
      </c>
      <c r="H452" s="95">
        <v>46154</v>
      </c>
      <c r="I452" s="47">
        <v>0.25</v>
      </c>
      <c r="J452" s="47">
        <v>0.25</v>
      </c>
      <c r="K452" s="47"/>
      <c r="L452" s="47"/>
      <c r="M452" s="47"/>
      <c r="N452" s="47"/>
      <c r="O452" s="47"/>
      <c r="P452" s="47"/>
      <c r="Q452" s="47"/>
      <c r="R452" s="47"/>
      <c r="S452" s="47"/>
      <c r="T452" s="47"/>
    </row>
    <row r="453" spans="1:20" x14ac:dyDescent="0.35">
      <c r="C453" s="17"/>
      <c r="D453" s="21" t="s">
        <v>517</v>
      </c>
      <c r="E453" s="21" t="s">
        <v>518</v>
      </c>
      <c r="F453" s="17"/>
      <c r="G453" s="17">
        <v>1</v>
      </c>
      <c r="H453" s="93"/>
      <c r="I453" s="47">
        <v>0.5</v>
      </c>
      <c r="J453" s="47">
        <v>0.5</v>
      </c>
    </row>
    <row r="454" spans="1:20" x14ac:dyDescent="0.35">
      <c r="A454" s="21"/>
      <c r="B454" s="21"/>
      <c r="C454" s="17"/>
      <c r="D454" s="21" t="s">
        <v>77</v>
      </c>
      <c r="E454" s="21" t="s">
        <v>20</v>
      </c>
      <c r="F454" s="17"/>
      <c r="G454" s="17">
        <v>1</v>
      </c>
      <c r="H454" s="93"/>
    </row>
    <row r="455" spans="1:20" x14ac:dyDescent="0.35">
      <c r="A455" s="21"/>
      <c r="B455" s="21"/>
      <c r="C455" s="17"/>
      <c r="D455" s="21" t="s">
        <v>519</v>
      </c>
      <c r="E455" s="21" t="s">
        <v>476</v>
      </c>
      <c r="F455" s="17"/>
      <c r="G455" s="17">
        <v>1</v>
      </c>
      <c r="H455" s="93"/>
    </row>
    <row r="456" spans="1:20" x14ac:dyDescent="0.35">
      <c r="A456" s="21"/>
      <c r="B456" s="21"/>
      <c r="C456" s="17"/>
      <c r="D456" s="21" t="s">
        <v>82</v>
      </c>
      <c r="E456" s="21" t="s">
        <v>26</v>
      </c>
      <c r="F456" s="17"/>
      <c r="G456" s="17">
        <v>1</v>
      </c>
      <c r="H456" s="93"/>
    </row>
    <row r="457" spans="1:20" x14ac:dyDescent="0.35">
      <c r="A457" s="21"/>
      <c r="B457" s="21"/>
      <c r="C457" s="17"/>
      <c r="D457" s="21" t="s">
        <v>520</v>
      </c>
      <c r="E457" s="21" t="s">
        <v>521</v>
      </c>
      <c r="F457" s="17"/>
      <c r="G457" s="17">
        <v>1</v>
      </c>
      <c r="H457" s="93"/>
    </row>
    <row r="458" spans="1:20" x14ac:dyDescent="0.35">
      <c r="A458" s="21"/>
      <c r="B458" s="21"/>
      <c r="C458" s="17"/>
      <c r="D458" s="21" t="s">
        <v>391</v>
      </c>
      <c r="E458" s="21" t="s">
        <v>392</v>
      </c>
      <c r="F458" s="17"/>
      <c r="G458" s="17">
        <v>1</v>
      </c>
      <c r="H458" s="93"/>
      <c r="I458" s="47">
        <v>0.5</v>
      </c>
      <c r="J458" s="47">
        <v>0.5</v>
      </c>
    </row>
    <row r="459" spans="1:20" x14ac:dyDescent="0.35">
      <c r="A459" s="21"/>
      <c r="B459" s="21"/>
      <c r="C459" s="17"/>
      <c r="D459" s="21" t="s">
        <v>93</v>
      </c>
      <c r="E459" s="21" t="s">
        <v>14</v>
      </c>
      <c r="F459" s="17"/>
      <c r="G459" s="17">
        <v>1</v>
      </c>
      <c r="H459" s="93"/>
      <c r="I459" s="47">
        <v>0.5</v>
      </c>
      <c r="J459" s="47">
        <v>0.5</v>
      </c>
    </row>
    <row r="460" spans="1:20" x14ac:dyDescent="0.35">
      <c r="A460" s="21"/>
      <c r="B460" s="21"/>
      <c r="C460" s="17"/>
      <c r="D460" s="21" t="s">
        <v>75</v>
      </c>
      <c r="E460" s="21" t="s">
        <v>55</v>
      </c>
      <c r="F460" s="17"/>
      <c r="G460" s="17">
        <v>1</v>
      </c>
      <c r="H460" s="93"/>
      <c r="I460" s="17">
        <v>2</v>
      </c>
      <c r="J460" s="17">
        <v>0.5</v>
      </c>
    </row>
    <row r="461" spans="1:20" x14ac:dyDescent="0.35">
      <c r="A461" s="21"/>
      <c r="B461" s="21"/>
      <c r="C461" s="17"/>
      <c r="D461" s="21" t="s">
        <v>224</v>
      </c>
      <c r="E461" s="21" t="s">
        <v>153</v>
      </c>
      <c r="F461" s="17"/>
      <c r="G461" s="17">
        <v>1</v>
      </c>
      <c r="H461" s="93"/>
      <c r="I461" s="17">
        <v>2</v>
      </c>
      <c r="J461" s="17">
        <v>0.5</v>
      </c>
    </row>
    <row r="462" spans="1:20" x14ac:dyDescent="0.35">
      <c r="A462" s="21"/>
      <c r="B462" s="21"/>
      <c r="C462" s="17"/>
      <c r="D462" s="21" t="s">
        <v>81</v>
      </c>
      <c r="E462" s="21" t="s">
        <v>15</v>
      </c>
      <c r="F462" s="17"/>
      <c r="G462" s="17">
        <v>1</v>
      </c>
      <c r="H462" s="93"/>
      <c r="I462" s="47">
        <v>0.5</v>
      </c>
      <c r="J462" s="47">
        <v>0.5</v>
      </c>
    </row>
    <row r="463" spans="1:20" x14ac:dyDescent="0.35">
      <c r="A463" s="21"/>
      <c r="B463" s="21"/>
      <c r="C463" s="17"/>
      <c r="D463" s="21" t="s">
        <v>176</v>
      </c>
      <c r="E463" s="21" t="s">
        <v>177</v>
      </c>
      <c r="F463" s="17"/>
      <c r="G463" s="17">
        <v>24</v>
      </c>
      <c r="H463" s="93"/>
    </row>
    <row r="464" spans="1:20" x14ac:dyDescent="0.35">
      <c r="A464" s="21"/>
      <c r="B464" s="21"/>
      <c r="C464" s="17"/>
      <c r="D464" s="21" t="s">
        <v>326</v>
      </c>
      <c r="E464" s="21" t="s">
        <v>327</v>
      </c>
      <c r="F464" s="17"/>
      <c r="G464" s="17">
        <v>1</v>
      </c>
      <c r="H464" s="93"/>
    </row>
    <row r="465" spans="1:20" x14ac:dyDescent="0.35">
      <c r="A465" s="21"/>
      <c r="B465" s="21"/>
      <c r="C465" s="17"/>
      <c r="D465" s="21" t="s">
        <v>148</v>
      </c>
      <c r="E465" s="21" t="s">
        <v>149</v>
      </c>
      <c r="F465" s="17"/>
      <c r="G465" s="17">
        <v>1</v>
      </c>
      <c r="H465" s="93"/>
    </row>
    <row r="466" spans="1:20" x14ac:dyDescent="0.35">
      <c r="A466" s="21"/>
      <c r="B466" s="21"/>
      <c r="C466" s="17"/>
      <c r="D466" s="21" t="s">
        <v>256</v>
      </c>
      <c r="E466" s="21" t="s">
        <v>257</v>
      </c>
      <c r="F466" s="17"/>
      <c r="G466" s="17">
        <v>1</v>
      </c>
      <c r="H466" s="93"/>
    </row>
    <row r="467" spans="1:20" x14ac:dyDescent="0.35">
      <c r="A467" s="21"/>
      <c r="B467" s="21"/>
      <c r="C467" s="17"/>
      <c r="D467" s="21" t="s">
        <v>112</v>
      </c>
      <c r="E467" s="21" t="s">
        <v>118</v>
      </c>
      <c r="F467" s="17"/>
      <c r="G467" s="17">
        <v>1</v>
      </c>
      <c r="H467" s="93"/>
    </row>
    <row r="468" spans="1:20" x14ac:dyDescent="0.35">
      <c r="A468" s="21"/>
      <c r="B468" s="21"/>
      <c r="C468" s="17"/>
      <c r="D468" s="21" t="s">
        <v>522</v>
      </c>
      <c r="E468" s="21" t="s">
        <v>523</v>
      </c>
      <c r="F468" s="17"/>
      <c r="G468" s="17">
        <v>1</v>
      </c>
      <c r="H468" s="93"/>
    </row>
    <row r="469" spans="1:20" x14ac:dyDescent="0.35">
      <c r="A469" s="21"/>
      <c r="B469" s="21"/>
      <c r="C469" s="17"/>
      <c r="D469" s="21" t="s">
        <v>157</v>
      </c>
      <c r="E469" s="21" t="s">
        <v>158</v>
      </c>
      <c r="F469" s="17"/>
      <c r="G469" s="17">
        <v>1</v>
      </c>
      <c r="H469" s="93"/>
    </row>
    <row r="470" spans="1:20" x14ac:dyDescent="0.35">
      <c r="A470" s="21"/>
      <c r="B470" s="21"/>
      <c r="C470" s="17"/>
      <c r="D470" s="21" t="s">
        <v>324</v>
      </c>
      <c r="E470" s="21" t="s">
        <v>325</v>
      </c>
      <c r="F470" s="17"/>
      <c r="G470" s="17">
        <v>1</v>
      </c>
      <c r="H470" s="93"/>
    </row>
    <row r="471" spans="1:20" x14ac:dyDescent="0.35">
      <c r="A471" s="21"/>
      <c r="B471" s="21"/>
      <c r="C471" s="17"/>
      <c r="D471" s="21" t="s">
        <v>113</v>
      </c>
      <c r="E471" s="21" t="s">
        <v>119</v>
      </c>
      <c r="F471" s="17"/>
      <c r="G471" s="17">
        <v>1</v>
      </c>
      <c r="H471" s="93"/>
    </row>
    <row r="472" spans="1:20" x14ac:dyDescent="0.35">
      <c r="A472" s="21"/>
      <c r="B472" s="21"/>
      <c r="C472" s="17"/>
      <c r="D472" s="21" t="s">
        <v>367</v>
      </c>
      <c r="E472" s="21" t="s">
        <v>368</v>
      </c>
      <c r="F472" s="17"/>
      <c r="G472" s="17">
        <v>1</v>
      </c>
      <c r="H472" s="93"/>
    </row>
    <row r="473" spans="1:20" x14ac:dyDescent="0.35">
      <c r="A473" s="21"/>
      <c r="B473" s="21"/>
      <c r="C473" s="17"/>
      <c r="D473" s="21" t="s">
        <v>115</v>
      </c>
      <c r="E473" s="21" t="s">
        <v>121</v>
      </c>
      <c r="F473" s="17"/>
      <c r="G473" s="17">
        <v>1</v>
      </c>
      <c r="H473" s="93"/>
    </row>
    <row r="474" spans="1:20" x14ac:dyDescent="0.35">
      <c r="A474" s="21"/>
      <c r="B474" s="21"/>
      <c r="C474" s="17"/>
      <c r="D474" s="21" t="s">
        <v>95</v>
      </c>
      <c r="E474" s="21" t="s">
        <v>71</v>
      </c>
      <c r="F474" s="17"/>
      <c r="G474" s="17">
        <v>1</v>
      </c>
      <c r="H474" s="93"/>
    </row>
    <row r="475" spans="1:20" x14ac:dyDescent="0.35">
      <c r="A475" s="21"/>
      <c r="B475" s="21"/>
      <c r="C475" s="17"/>
      <c r="D475" s="21" t="s">
        <v>239</v>
      </c>
      <c r="E475" s="21" t="s">
        <v>240</v>
      </c>
      <c r="F475" s="17"/>
      <c r="G475" s="17">
        <v>2</v>
      </c>
      <c r="H475" s="93"/>
    </row>
    <row r="476" spans="1:20" x14ac:dyDescent="0.35">
      <c r="A476" s="21"/>
      <c r="B476" s="21"/>
      <c r="C476" s="17"/>
      <c r="D476" s="21" t="s">
        <v>524</v>
      </c>
      <c r="E476" s="21" t="s">
        <v>525</v>
      </c>
      <c r="F476" s="17"/>
      <c r="G476" s="17">
        <v>1</v>
      </c>
      <c r="H476" s="93"/>
    </row>
    <row r="477" spans="1:20" s="76" customFormat="1" ht="21.75" thickBot="1" x14ac:dyDescent="0.4">
      <c r="A477" s="48"/>
      <c r="B477" s="48"/>
      <c r="C477" s="49"/>
      <c r="D477" s="48"/>
      <c r="E477" s="48"/>
      <c r="F477" s="49"/>
      <c r="G477" s="49"/>
      <c r="H477" s="94"/>
      <c r="I477" s="49"/>
      <c r="J477" s="49"/>
      <c r="K477" s="49"/>
      <c r="L477" s="49"/>
      <c r="M477" s="49"/>
      <c r="N477" s="49"/>
      <c r="O477" s="49"/>
      <c r="P477" s="49"/>
      <c r="Q477" s="49"/>
      <c r="R477" s="49"/>
      <c r="S477" s="49"/>
      <c r="T477" s="49"/>
    </row>
    <row r="478" spans="1:20" x14ac:dyDescent="0.35">
      <c r="A478" s="46" t="s">
        <v>309</v>
      </c>
      <c r="B478" s="46" t="s">
        <v>490</v>
      </c>
      <c r="C478" s="53">
        <v>4957</v>
      </c>
      <c r="D478" s="46" t="s">
        <v>87</v>
      </c>
      <c r="E478" s="46" t="s">
        <v>21</v>
      </c>
      <c r="F478" s="19" t="s">
        <v>495</v>
      </c>
      <c r="G478" s="47">
        <v>14</v>
      </c>
      <c r="H478" s="95">
        <v>46155</v>
      </c>
      <c r="I478" s="47"/>
      <c r="J478" s="47"/>
      <c r="K478" s="47"/>
      <c r="L478" s="47">
        <v>14</v>
      </c>
      <c r="M478" s="47"/>
      <c r="N478" s="47"/>
      <c r="O478" s="47"/>
      <c r="P478" s="47"/>
      <c r="Q478" s="47"/>
      <c r="R478" s="47"/>
      <c r="S478" s="47"/>
      <c r="T478" s="47"/>
    </row>
    <row r="479" spans="1:20" s="76" customFormat="1" ht="21.75" thickBot="1" x14ac:dyDescent="0.4">
      <c r="A479" s="48"/>
      <c r="B479" s="48"/>
      <c r="C479" s="49"/>
      <c r="D479" s="48"/>
      <c r="E479" s="48"/>
      <c r="F479" s="49"/>
      <c r="G479" s="49"/>
      <c r="H479" s="94"/>
      <c r="I479" s="49"/>
      <c r="J479" s="49"/>
      <c r="K479" s="49"/>
      <c r="L479" s="49"/>
      <c r="M479" s="49"/>
      <c r="N479" s="49"/>
      <c r="O479" s="49"/>
      <c r="P479" s="49"/>
      <c r="Q479" s="49"/>
      <c r="R479" s="49"/>
      <c r="S479" s="49"/>
      <c r="T479" s="49"/>
    </row>
    <row r="480" spans="1:20" x14ac:dyDescent="0.35">
      <c r="A480" s="46" t="s">
        <v>527</v>
      </c>
      <c r="B480" s="46" t="s">
        <v>220</v>
      </c>
      <c r="C480" s="47">
        <v>4958</v>
      </c>
      <c r="D480" s="46" t="s">
        <v>253</v>
      </c>
      <c r="E480" s="46" t="s">
        <v>254</v>
      </c>
      <c r="F480" s="87" t="s">
        <v>219</v>
      </c>
      <c r="G480" s="47">
        <v>1</v>
      </c>
      <c r="H480" s="95">
        <v>46155</v>
      </c>
      <c r="I480" s="47"/>
      <c r="J480" s="47"/>
      <c r="K480" s="47"/>
      <c r="L480" s="47"/>
      <c r="M480" s="47"/>
      <c r="N480" s="47"/>
      <c r="O480" s="47"/>
      <c r="P480" s="47"/>
      <c r="Q480" s="47"/>
      <c r="R480" s="47"/>
      <c r="S480" s="47"/>
      <c r="T480" s="47"/>
    </row>
    <row r="481" spans="1:20" x14ac:dyDescent="0.35">
      <c r="A481" s="21"/>
      <c r="B481" s="21"/>
      <c r="C481" s="17"/>
      <c r="D481" s="21" t="s">
        <v>76</v>
      </c>
      <c r="E481" s="21" t="s">
        <v>150</v>
      </c>
      <c r="F481" s="17"/>
      <c r="G481" s="17">
        <v>1</v>
      </c>
      <c r="H481" s="93"/>
    </row>
    <row r="482" spans="1:20" s="76" customFormat="1" ht="21.75" thickBot="1" x14ac:dyDescent="0.4">
      <c r="A482" s="48"/>
      <c r="B482" s="48"/>
      <c r="C482" s="49"/>
      <c r="D482" s="48"/>
      <c r="E482" s="48"/>
      <c r="F482" s="49"/>
      <c r="G482" s="49"/>
      <c r="H482" s="94"/>
      <c r="I482" s="49"/>
      <c r="J482" s="49"/>
      <c r="K482" s="49"/>
      <c r="L482" s="49"/>
      <c r="M482" s="49"/>
      <c r="N482" s="49"/>
      <c r="O482" s="49"/>
      <c r="P482" s="49"/>
      <c r="Q482" s="49"/>
      <c r="R482" s="49"/>
      <c r="S482" s="49"/>
      <c r="T482" s="49"/>
    </row>
    <row r="483" spans="1:20" x14ac:dyDescent="0.35">
      <c r="A483" s="46" t="s">
        <v>460</v>
      </c>
      <c r="B483" s="46" t="s">
        <v>220</v>
      </c>
      <c r="C483" s="47">
        <v>4959</v>
      </c>
      <c r="D483" s="46" t="s">
        <v>132</v>
      </c>
      <c r="E483" s="46" t="s">
        <v>133</v>
      </c>
      <c r="F483" s="87" t="s">
        <v>219</v>
      </c>
      <c r="G483" s="47">
        <v>8</v>
      </c>
      <c r="H483" s="95">
        <v>46155</v>
      </c>
      <c r="I483" s="47"/>
      <c r="J483" s="47"/>
      <c r="K483" s="47"/>
      <c r="L483" s="47"/>
      <c r="M483" s="47"/>
      <c r="N483" s="47"/>
      <c r="O483" s="47"/>
      <c r="P483" s="47"/>
      <c r="Q483" s="47"/>
      <c r="R483" s="47"/>
      <c r="S483" s="47"/>
      <c r="T483" s="47"/>
    </row>
    <row r="484" spans="1:20" x14ac:dyDescent="0.35">
      <c r="A484" s="21"/>
      <c r="B484" s="21"/>
      <c r="C484" s="17"/>
      <c r="D484" s="21" t="s">
        <v>106</v>
      </c>
      <c r="E484" s="21" t="s">
        <v>69</v>
      </c>
      <c r="F484" s="17"/>
      <c r="G484" s="17">
        <v>2</v>
      </c>
      <c r="H484" s="93"/>
    </row>
    <row r="485" spans="1:20" s="76" customFormat="1" ht="21.75" thickBot="1" x14ac:dyDescent="0.4">
      <c r="A485" s="48"/>
      <c r="B485" s="48"/>
      <c r="C485" s="49"/>
      <c r="D485" s="48"/>
      <c r="E485" s="48"/>
      <c r="F485" s="49"/>
      <c r="G485" s="49"/>
      <c r="H485" s="94"/>
      <c r="I485" s="49"/>
      <c r="J485" s="49"/>
      <c r="K485" s="49"/>
      <c r="L485" s="49"/>
      <c r="M485" s="49"/>
      <c r="N485" s="49"/>
      <c r="O485" s="49"/>
      <c r="P485" s="49"/>
      <c r="Q485" s="49"/>
      <c r="R485" s="49"/>
      <c r="S485" s="49"/>
      <c r="T485" s="49"/>
    </row>
    <row r="486" spans="1:20" x14ac:dyDescent="0.35">
      <c r="A486" s="46" t="s">
        <v>11</v>
      </c>
      <c r="B486" s="46" t="s">
        <v>163</v>
      </c>
      <c r="C486" s="47">
        <v>4960</v>
      </c>
      <c r="D486" s="46" t="s">
        <v>528</v>
      </c>
      <c r="E486" s="46" t="s">
        <v>529</v>
      </c>
      <c r="F486" s="19" t="s">
        <v>147</v>
      </c>
      <c r="G486" s="19">
        <v>2</v>
      </c>
      <c r="H486" s="95">
        <v>46155</v>
      </c>
      <c r="I486" s="47"/>
      <c r="J486" s="47"/>
      <c r="K486" s="47"/>
      <c r="L486" s="47"/>
      <c r="M486" s="47"/>
      <c r="N486" s="47"/>
      <c r="O486" s="47"/>
      <c r="P486" s="47"/>
      <c r="Q486" s="47"/>
      <c r="R486" s="47"/>
      <c r="S486" s="47"/>
      <c r="T486" s="47"/>
    </row>
    <row r="487" spans="1:20" x14ac:dyDescent="0.35">
      <c r="A487" s="21"/>
      <c r="B487" s="21"/>
      <c r="C487" s="17"/>
      <c r="D487" s="21" t="s">
        <v>530</v>
      </c>
      <c r="E487" s="21" t="s">
        <v>531</v>
      </c>
      <c r="F487" s="17"/>
      <c r="G487" s="72">
        <v>6</v>
      </c>
      <c r="H487" s="93"/>
    </row>
    <row r="488" spans="1:20" x14ac:dyDescent="0.35">
      <c r="A488" s="21"/>
      <c r="B488" s="21"/>
      <c r="C488" s="17"/>
      <c r="D488" s="21" t="s">
        <v>530</v>
      </c>
      <c r="E488" s="21" t="s">
        <v>531</v>
      </c>
      <c r="F488" s="17"/>
      <c r="G488" s="72">
        <v>2</v>
      </c>
      <c r="H488" s="93"/>
    </row>
    <row r="489" spans="1:20" x14ac:dyDescent="0.35">
      <c r="A489" s="21"/>
      <c r="B489" s="21"/>
      <c r="C489" s="17"/>
      <c r="D489" s="21" t="s">
        <v>532</v>
      </c>
      <c r="E489" s="21" t="s">
        <v>533</v>
      </c>
      <c r="F489" s="17"/>
      <c r="G489" s="72">
        <v>2</v>
      </c>
      <c r="H489" s="93"/>
    </row>
    <row r="490" spans="1:20" x14ac:dyDescent="0.35">
      <c r="A490" s="21"/>
      <c r="B490" s="21"/>
      <c r="C490" s="17"/>
      <c r="D490" s="21" t="s">
        <v>534</v>
      </c>
      <c r="E490" s="89" t="s">
        <v>535</v>
      </c>
      <c r="F490" s="17"/>
      <c r="G490" s="72">
        <v>2</v>
      </c>
      <c r="H490" s="93"/>
    </row>
    <row r="491" spans="1:20" x14ac:dyDescent="0.35">
      <c r="A491" s="21"/>
      <c r="B491" s="21"/>
      <c r="C491" s="17"/>
      <c r="D491" s="21" t="s">
        <v>536</v>
      </c>
      <c r="E491" s="21" t="s">
        <v>537</v>
      </c>
      <c r="F491" s="17"/>
      <c r="G491" s="72">
        <v>2</v>
      </c>
      <c r="H491" s="93"/>
    </row>
    <row r="492" spans="1:20" x14ac:dyDescent="0.35">
      <c r="A492" s="21"/>
      <c r="B492" s="21"/>
      <c r="C492" s="17"/>
      <c r="D492" s="21" t="s">
        <v>154</v>
      </c>
      <c r="E492" s="21" t="s">
        <v>155</v>
      </c>
      <c r="F492" s="17"/>
      <c r="G492" s="72">
        <v>2</v>
      </c>
      <c r="H492" s="93"/>
    </row>
    <row r="493" spans="1:20" x14ac:dyDescent="0.35">
      <c r="A493" s="21"/>
      <c r="B493" s="21"/>
      <c r="C493" s="17"/>
      <c r="D493" s="21" t="s">
        <v>154</v>
      </c>
      <c r="E493" s="21" t="s">
        <v>155</v>
      </c>
      <c r="F493" s="17"/>
      <c r="G493" s="72">
        <v>2</v>
      </c>
      <c r="H493" s="93"/>
    </row>
    <row r="494" spans="1:20" x14ac:dyDescent="0.35">
      <c r="A494" s="21"/>
      <c r="B494" s="21"/>
      <c r="C494" s="17"/>
      <c r="D494" s="21" t="s">
        <v>538</v>
      </c>
      <c r="E494" s="21" t="s">
        <v>539</v>
      </c>
      <c r="F494" s="17"/>
      <c r="G494" s="72">
        <v>2</v>
      </c>
      <c r="H494" s="93"/>
    </row>
    <row r="495" spans="1:20" x14ac:dyDescent="0.35">
      <c r="A495" s="21"/>
      <c r="B495" s="21"/>
      <c r="C495" s="17"/>
      <c r="D495" s="21" t="s">
        <v>540</v>
      </c>
      <c r="E495" s="21" t="s">
        <v>541</v>
      </c>
      <c r="F495" s="17"/>
      <c r="G495" s="72">
        <v>2</v>
      </c>
      <c r="H495" s="93"/>
    </row>
    <row r="496" spans="1:20" x14ac:dyDescent="0.35">
      <c r="A496" s="21"/>
      <c r="B496" s="21"/>
      <c r="C496" s="17"/>
      <c r="D496" s="21" t="s">
        <v>170</v>
      </c>
      <c r="E496" s="21" t="s">
        <v>171</v>
      </c>
      <c r="F496" s="17"/>
      <c r="G496" s="72">
        <v>2</v>
      </c>
      <c r="H496" s="93"/>
    </row>
    <row r="497" spans="1:8" x14ac:dyDescent="0.35">
      <c r="A497" s="21"/>
      <c r="B497" s="21"/>
      <c r="C497" s="17"/>
      <c r="D497" s="21" t="s">
        <v>542</v>
      </c>
      <c r="E497" s="21" t="s">
        <v>543</v>
      </c>
      <c r="F497" s="17"/>
      <c r="G497" s="72">
        <v>2</v>
      </c>
      <c r="H497" s="93"/>
    </row>
    <row r="498" spans="1:8" x14ac:dyDescent="0.35">
      <c r="A498" s="21"/>
      <c r="B498" s="21"/>
      <c r="C498" s="17"/>
      <c r="D498" s="21" t="s">
        <v>544</v>
      </c>
      <c r="E498" s="21" t="s">
        <v>545</v>
      </c>
      <c r="F498" s="17"/>
      <c r="G498" s="72">
        <v>2</v>
      </c>
      <c r="H498" s="93"/>
    </row>
    <row r="499" spans="1:8" x14ac:dyDescent="0.35">
      <c r="A499" s="21"/>
      <c r="B499" s="21"/>
      <c r="C499" s="17"/>
      <c r="D499" s="21" t="s">
        <v>546</v>
      </c>
      <c r="E499" s="21" t="s">
        <v>547</v>
      </c>
      <c r="F499" s="17"/>
      <c r="G499" s="72">
        <v>4</v>
      </c>
      <c r="H499" s="93"/>
    </row>
    <row r="500" spans="1:8" x14ac:dyDescent="0.35">
      <c r="A500" s="21"/>
      <c r="B500" s="21"/>
      <c r="C500" s="17"/>
      <c r="D500" s="21" t="s">
        <v>462</v>
      </c>
      <c r="E500" s="21" t="s">
        <v>463</v>
      </c>
      <c r="F500" s="17"/>
      <c r="G500" s="72">
        <v>4</v>
      </c>
      <c r="H500" s="93"/>
    </row>
    <row r="501" spans="1:8" x14ac:dyDescent="0.35">
      <c r="A501" s="21"/>
      <c r="B501" s="21"/>
      <c r="C501" s="17"/>
      <c r="D501" s="21" t="s">
        <v>548</v>
      </c>
      <c r="E501" s="21" t="s">
        <v>549</v>
      </c>
      <c r="F501" s="17"/>
      <c r="G501" s="72">
        <v>2</v>
      </c>
      <c r="H501" s="93"/>
    </row>
    <row r="502" spans="1:8" x14ac:dyDescent="0.35">
      <c r="A502" s="21"/>
      <c r="B502" s="21"/>
      <c r="C502" s="17"/>
      <c r="D502" s="21" t="s">
        <v>548</v>
      </c>
      <c r="E502" s="21" t="s">
        <v>549</v>
      </c>
      <c r="F502" s="17"/>
      <c r="G502" s="72">
        <v>2</v>
      </c>
      <c r="H502" s="93"/>
    </row>
    <row r="503" spans="1:8" x14ac:dyDescent="0.35">
      <c r="A503" s="21"/>
      <c r="B503" s="21"/>
      <c r="C503" s="17"/>
      <c r="D503" s="21" t="s">
        <v>550</v>
      </c>
      <c r="E503" s="21" t="s">
        <v>551</v>
      </c>
      <c r="F503" s="17"/>
      <c r="G503" s="72">
        <v>2</v>
      </c>
      <c r="H503" s="93"/>
    </row>
    <row r="504" spans="1:8" x14ac:dyDescent="0.35">
      <c r="A504" s="21"/>
      <c r="B504" s="21"/>
      <c r="C504" s="17"/>
      <c r="D504" s="21" t="s">
        <v>552</v>
      </c>
      <c r="E504" s="21" t="s">
        <v>553</v>
      </c>
      <c r="F504" s="17"/>
      <c r="G504" s="72">
        <v>2</v>
      </c>
      <c r="H504" s="93"/>
    </row>
    <row r="505" spans="1:8" x14ac:dyDescent="0.35">
      <c r="A505" s="21"/>
      <c r="B505" s="21"/>
      <c r="C505" s="17"/>
      <c r="D505" s="21" t="s">
        <v>554</v>
      </c>
      <c r="E505" s="21" t="s">
        <v>555</v>
      </c>
      <c r="F505" s="17"/>
      <c r="G505" s="72">
        <v>4</v>
      </c>
      <c r="H505" s="93"/>
    </row>
    <row r="506" spans="1:8" x14ac:dyDescent="0.35">
      <c r="A506" s="21"/>
      <c r="B506" s="21"/>
      <c r="C506" s="17"/>
      <c r="D506" s="21" t="s">
        <v>596</v>
      </c>
      <c r="E506" s="21" t="s">
        <v>597</v>
      </c>
      <c r="F506" s="17"/>
      <c r="G506" s="72">
        <v>2</v>
      </c>
      <c r="H506" s="93"/>
    </row>
    <row r="507" spans="1:8" x14ac:dyDescent="0.35">
      <c r="A507" s="21"/>
      <c r="B507" s="21"/>
      <c r="C507" s="17"/>
      <c r="D507" s="21" t="s">
        <v>556</v>
      </c>
      <c r="E507" s="21" t="s">
        <v>557</v>
      </c>
      <c r="F507" s="17"/>
      <c r="G507" s="72">
        <v>2</v>
      </c>
      <c r="H507" s="93"/>
    </row>
    <row r="508" spans="1:8" x14ac:dyDescent="0.35">
      <c r="A508" s="21"/>
      <c r="B508" s="21"/>
      <c r="C508" s="17"/>
      <c r="D508" s="21" t="s">
        <v>230</v>
      </c>
      <c r="E508" s="21" t="s">
        <v>231</v>
      </c>
      <c r="F508" s="17"/>
      <c r="G508" s="72">
        <v>2</v>
      </c>
      <c r="H508" s="93"/>
    </row>
    <row r="509" spans="1:8" x14ac:dyDescent="0.35">
      <c r="A509" s="21"/>
      <c r="B509" s="21"/>
      <c r="C509" s="17"/>
      <c r="D509" s="21" t="s">
        <v>558</v>
      </c>
      <c r="E509" s="21" t="s">
        <v>559</v>
      </c>
      <c r="F509" s="17"/>
      <c r="G509" s="72">
        <v>2</v>
      </c>
      <c r="H509" s="93"/>
    </row>
    <row r="510" spans="1:8" x14ac:dyDescent="0.35">
      <c r="A510" s="21"/>
      <c r="B510" s="21"/>
      <c r="C510" s="17"/>
      <c r="D510" s="21" t="s">
        <v>232</v>
      </c>
      <c r="E510" s="21" t="s">
        <v>233</v>
      </c>
      <c r="F510" s="17"/>
      <c r="G510" s="72">
        <v>2</v>
      </c>
      <c r="H510" s="93"/>
    </row>
    <row r="511" spans="1:8" x14ac:dyDescent="0.35">
      <c r="A511" s="21"/>
      <c r="B511" s="21"/>
      <c r="C511" s="17"/>
      <c r="D511" s="21" t="s">
        <v>560</v>
      </c>
      <c r="E511" s="21" t="s">
        <v>561</v>
      </c>
      <c r="F511" s="17"/>
      <c r="G511" s="72">
        <v>2</v>
      </c>
      <c r="H511" s="93"/>
    </row>
    <row r="512" spans="1:8" x14ac:dyDescent="0.35">
      <c r="A512" s="21"/>
      <c r="B512" s="21"/>
      <c r="C512" s="17"/>
      <c r="D512" s="21" t="s">
        <v>112</v>
      </c>
      <c r="E512" s="21" t="s">
        <v>118</v>
      </c>
      <c r="F512" s="17"/>
      <c r="G512" s="72">
        <v>2</v>
      </c>
      <c r="H512" s="93"/>
    </row>
    <row r="513" spans="1:8" x14ac:dyDescent="0.35">
      <c r="A513" s="21"/>
      <c r="B513" s="21"/>
      <c r="C513" s="17"/>
      <c r="D513" s="21" t="s">
        <v>562</v>
      </c>
      <c r="E513" s="21" t="s">
        <v>563</v>
      </c>
      <c r="F513" s="17"/>
      <c r="G513" s="72">
        <v>6</v>
      </c>
      <c r="H513" s="93"/>
    </row>
    <row r="514" spans="1:8" x14ac:dyDescent="0.35">
      <c r="A514" s="21"/>
      <c r="B514" s="21"/>
      <c r="C514" s="17"/>
      <c r="D514" s="21" t="s">
        <v>324</v>
      </c>
      <c r="E514" s="21" t="s">
        <v>325</v>
      </c>
      <c r="F514" s="17"/>
      <c r="G514" s="72">
        <v>8</v>
      </c>
      <c r="H514" s="93"/>
    </row>
    <row r="515" spans="1:8" x14ac:dyDescent="0.35">
      <c r="A515" s="21"/>
      <c r="B515" s="21"/>
      <c r="C515" s="17"/>
      <c r="D515" s="21" t="s">
        <v>564</v>
      </c>
      <c r="E515" s="21" t="s">
        <v>565</v>
      </c>
      <c r="F515" s="17"/>
      <c r="G515" s="72">
        <v>4</v>
      </c>
      <c r="H515" s="93"/>
    </row>
    <row r="516" spans="1:8" x14ac:dyDescent="0.35">
      <c r="A516" s="21"/>
      <c r="B516" s="21"/>
      <c r="C516" s="17"/>
      <c r="D516" s="21" t="s">
        <v>355</v>
      </c>
      <c r="E516" s="21" t="s">
        <v>356</v>
      </c>
      <c r="F516" s="17"/>
      <c r="G516" s="72">
        <v>2</v>
      </c>
      <c r="H516" s="93"/>
    </row>
    <row r="517" spans="1:8" x14ac:dyDescent="0.35">
      <c r="A517" s="21"/>
      <c r="B517" s="21"/>
      <c r="C517" s="17"/>
      <c r="D517" s="21" t="s">
        <v>248</v>
      </c>
      <c r="E517" s="21" t="s">
        <v>249</v>
      </c>
      <c r="F517" s="17"/>
      <c r="G517" s="72">
        <v>2</v>
      </c>
      <c r="H517" s="93"/>
    </row>
    <row r="518" spans="1:8" x14ac:dyDescent="0.35">
      <c r="A518" s="21"/>
      <c r="B518" s="21"/>
      <c r="C518" s="17"/>
      <c r="D518" s="21" t="s">
        <v>113</v>
      </c>
      <c r="E518" s="21" t="s">
        <v>119</v>
      </c>
      <c r="F518" s="17"/>
      <c r="G518" s="72">
        <v>2</v>
      </c>
      <c r="H518" s="93"/>
    </row>
    <row r="519" spans="1:8" x14ac:dyDescent="0.35">
      <c r="A519" s="21"/>
      <c r="B519" s="21"/>
      <c r="C519" s="17"/>
      <c r="D519" s="21" t="s">
        <v>566</v>
      </c>
      <c r="E519" s="21" t="s">
        <v>567</v>
      </c>
      <c r="F519" s="17"/>
      <c r="G519" s="72">
        <v>4</v>
      </c>
      <c r="H519" s="93"/>
    </row>
    <row r="520" spans="1:8" x14ac:dyDescent="0.35">
      <c r="A520" s="21"/>
      <c r="B520" s="21"/>
      <c r="C520" s="17"/>
      <c r="D520" s="21" t="s">
        <v>568</v>
      </c>
      <c r="E520" s="21" t="s">
        <v>569</v>
      </c>
      <c r="F520" s="17"/>
      <c r="G520" s="72">
        <v>2</v>
      </c>
      <c r="H520" s="93"/>
    </row>
    <row r="521" spans="1:8" x14ac:dyDescent="0.35">
      <c r="A521" s="21"/>
      <c r="B521" s="21"/>
      <c r="C521" s="17"/>
      <c r="D521" s="21" t="s">
        <v>524</v>
      </c>
      <c r="E521" s="21" t="s">
        <v>525</v>
      </c>
      <c r="F521" s="17"/>
      <c r="G521" s="72">
        <v>2</v>
      </c>
      <c r="H521" s="93"/>
    </row>
    <row r="522" spans="1:8" x14ac:dyDescent="0.35">
      <c r="A522" s="21"/>
      <c r="B522" s="21"/>
      <c r="C522" s="17"/>
      <c r="D522" s="21" t="s">
        <v>570</v>
      </c>
      <c r="E522" s="21" t="s">
        <v>571</v>
      </c>
      <c r="F522" s="17"/>
      <c r="G522" s="72">
        <v>2</v>
      </c>
      <c r="H522" s="93"/>
    </row>
    <row r="523" spans="1:8" x14ac:dyDescent="0.35">
      <c r="A523" s="21"/>
      <c r="B523" s="21"/>
      <c r="C523" s="17"/>
      <c r="D523" s="21" t="s">
        <v>570</v>
      </c>
      <c r="E523" s="21" t="s">
        <v>571</v>
      </c>
      <c r="F523" s="17"/>
      <c r="G523" s="72">
        <v>2</v>
      </c>
      <c r="H523" s="93"/>
    </row>
    <row r="524" spans="1:8" x14ac:dyDescent="0.35">
      <c r="A524" s="21"/>
      <c r="B524" s="21"/>
      <c r="C524" s="17"/>
      <c r="D524" s="21" t="s">
        <v>572</v>
      </c>
      <c r="E524" s="21" t="s">
        <v>573</v>
      </c>
      <c r="F524" s="17"/>
      <c r="G524" s="72">
        <v>4</v>
      </c>
      <c r="H524" s="93"/>
    </row>
    <row r="525" spans="1:8" x14ac:dyDescent="0.35">
      <c r="A525" s="21"/>
      <c r="B525" s="21"/>
      <c r="C525" s="17"/>
      <c r="D525" s="21" t="s">
        <v>157</v>
      </c>
      <c r="E525" s="21" t="s">
        <v>158</v>
      </c>
      <c r="F525" s="17"/>
      <c r="G525" s="72">
        <v>4</v>
      </c>
      <c r="H525" s="93"/>
    </row>
    <row r="526" spans="1:8" x14ac:dyDescent="0.35">
      <c r="A526" s="21"/>
      <c r="B526" s="21"/>
      <c r="C526" s="17"/>
      <c r="D526" s="21" t="s">
        <v>598</v>
      </c>
      <c r="E526" s="21" t="s">
        <v>599</v>
      </c>
      <c r="F526" s="17"/>
      <c r="G526" s="72">
        <v>6</v>
      </c>
      <c r="H526" s="93"/>
    </row>
    <row r="527" spans="1:8" x14ac:dyDescent="0.35">
      <c r="A527" s="21"/>
      <c r="B527" s="21"/>
      <c r="C527" s="17"/>
      <c r="D527" s="21" t="s">
        <v>115</v>
      </c>
      <c r="E527" s="21" t="s">
        <v>121</v>
      </c>
      <c r="F527" s="17"/>
      <c r="G527" s="72">
        <v>2</v>
      </c>
      <c r="H527" s="93"/>
    </row>
    <row r="528" spans="1:8" x14ac:dyDescent="0.35">
      <c r="A528" s="21"/>
      <c r="B528" s="21"/>
      <c r="C528" s="17"/>
      <c r="D528" s="21" t="s">
        <v>574</v>
      </c>
      <c r="E528" s="21" t="s">
        <v>575</v>
      </c>
      <c r="F528" s="17"/>
      <c r="G528" s="72">
        <v>8</v>
      </c>
      <c r="H528" s="93"/>
    </row>
    <row r="529" spans="1:20" x14ac:dyDescent="0.35">
      <c r="A529" s="21"/>
      <c r="B529" s="21"/>
      <c r="C529" s="17"/>
      <c r="D529" s="21" t="s">
        <v>576</v>
      </c>
      <c r="E529" s="21" t="s">
        <v>577</v>
      </c>
      <c r="F529" s="17"/>
      <c r="G529" s="72">
        <v>2</v>
      </c>
      <c r="H529" s="93"/>
    </row>
    <row r="530" spans="1:20" x14ac:dyDescent="0.35">
      <c r="A530" s="21"/>
      <c r="B530" s="21"/>
      <c r="C530" s="17"/>
      <c r="D530" s="21" t="s">
        <v>578</v>
      </c>
      <c r="E530" s="21" t="s">
        <v>579</v>
      </c>
      <c r="F530" s="17"/>
      <c r="G530" s="19">
        <v>2</v>
      </c>
      <c r="H530" s="93"/>
    </row>
    <row r="531" spans="1:20" x14ac:dyDescent="0.35">
      <c r="A531" s="84"/>
      <c r="B531" s="84"/>
      <c r="C531" s="74"/>
      <c r="D531" s="21" t="s">
        <v>580</v>
      </c>
      <c r="E531" s="21" t="s">
        <v>581</v>
      </c>
      <c r="F531" s="70"/>
      <c r="G531" s="17">
        <v>50</v>
      </c>
      <c r="H531" s="99"/>
      <c r="I531" s="74"/>
      <c r="J531" s="74"/>
      <c r="K531" s="74"/>
      <c r="L531" s="74"/>
      <c r="M531" s="74"/>
      <c r="N531" s="74"/>
      <c r="O531" s="74"/>
      <c r="P531" s="74"/>
      <c r="Q531" s="74"/>
      <c r="R531" s="74"/>
      <c r="S531" s="74"/>
      <c r="T531" s="74"/>
    </row>
    <row r="532" spans="1:20" s="76" customFormat="1" ht="21.75" thickBot="1" x14ac:dyDescent="0.4">
      <c r="A532" s="48"/>
      <c r="B532" s="48"/>
      <c r="C532" s="49"/>
      <c r="G532" s="22"/>
      <c r="H532" s="94"/>
      <c r="I532" s="49"/>
      <c r="J532" s="49"/>
      <c r="K532" s="49"/>
      <c r="L532" s="49"/>
      <c r="M532" s="49"/>
      <c r="N532" s="49"/>
      <c r="O532" s="49"/>
      <c r="P532" s="49"/>
      <c r="Q532" s="49"/>
      <c r="R532" s="49"/>
      <c r="S532" s="49"/>
      <c r="T532" s="49"/>
    </row>
    <row r="533" spans="1:20" x14ac:dyDescent="0.35">
      <c r="A533" s="46" t="s">
        <v>582</v>
      </c>
      <c r="B533" s="46" t="s">
        <v>414</v>
      </c>
      <c r="C533" s="51">
        <v>4961</v>
      </c>
      <c r="D533" s="46" t="s">
        <v>76</v>
      </c>
      <c r="E533" s="46" t="s">
        <v>150</v>
      </c>
      <c r="F533" s="19" t="s">
        <v>587</v>
      </c>
      <c r="G533" s="47">
        <v>1</v>
      </c>
      <c r="H533" s="95">
        <v>46155</v>
      </c>
      <c r="I533" s="47"/>
      <c r="J533" s="47"/>
      <c r="K533" s="47"/>
      <c r="L533" s="47"/>
      <c r="M533" s="47"/>
      <c r="N533" s="47"/>
      <c r="O533" s="47"/>
      <c r="P533" s="47"/>
      <c r="Q533" s="47"/>
      <c r="R533" s="47"/>
      <c r="S533" s="47"/>
      <c r="T533" s="47"/>
    </row>
    <row r="534" spans="1:20" x14ac:dyDescent="0.35">
      <c r="A534" s="21"/>
      <c r="B534" s="21"/>
      <c r="C534" s="17"/>
      <c r="D534" s="21" t="s">
        <v>583</v>
      </c>
      <c r="E534" s="21" t="s">
        <v>584</v>
      </c>
      <c r="F534" s="17"/>
      <c r="G534" s="17">
        <v>1</v>
      </c>
      <c r="H534" s="93"/>
    </row>
    <row r="535" spans="1:20" x14ac:dyDescent="0.35">
      <c r="A535" s="21"/>
      <c r="B535" s="21"/>
      <c r="C535" s="17"/>
      <c r="D535" s="21" t="s">
        <v>77</v>
      </c>
      <c r="E535" s="21" t="s">
        <v>20</v>
      </c>
      <c r="F535" s="17"/>
      <c r="G535" s="17">
        <v>1</v>
      </c>
      <c r="H535" s="93"/>
    </row>
    <row r="536" spans="1:20" x14ac:dyDescent="0.35">
      <c r="A536" s="21"/>
      <c r="B536" s="21"/>
      <c r="C536" s="17"/>
      <c r="D536" s="21" t="s">
        <v>585</v>
      </c>
      <c r="E536" s="21" t="s">
        <v>586</v>
      </c>
      <c r="F536" s="17"/>
      <c r="G536" s="17">
        <v>1</v>
      </c>
      <c r="H536" s="93"/>
    </row>
    <row r="537" spans="1:20" s="76" customFormat="1" ht="21.75" thickBot="1" x14ac:dyDescent="0.4">
      <c r="A537" s="48"/>
      <c r="B537" s="48"/>
      <c r="C537" s="49"/>
      <c r="D537" s="48"/>
      <c r="E537" s="48"/>
      <c r="F537" s="49"/>
      <c r="G537" s="49"/>
      <c r="H537" s="94"/>
      <c r="I537" s="49"/>
      <c r="J537" s="49"/>
      <c r="K537" s="49"/>
      <c r="L537" s="49"/>
      <c r="M537" s="49"/>
      <c r="N537" s="49"/>
      <c r="O537" s="49"/>
      <c r="P537" s="49"/>
      <c r="Q537" s="49"/>
      <c r="R537" s="49"/>
      <c r="S537" s="49"/>
      <c r="T537" s="49"/>
    </row>
    <row r="538" spans="1:20" x14ac:dyDescent="0.35">
      <c r="A538" s="46" t="s">
        <v>7</v>
      </c>
      <c r="B538" s="46"/>
      <c r="C538" s="47">
        <v>4962</v>
      </c>
      <c r="D538" s="46"/>
      <c r="E538" s="46" t="s">
        <v>588</v>
      </c>
      <c r="F538" s="87" t="s">
        <v>219</v>
      </c>
      <c r="G538" s="47">
        <v>1</v>
      </c>
      <c r="H538" s="95">
        <v>46156</v>
      </c>
      <c r="I538" s="47"/>
      <c r="J538" s="47"/>
      <c r="K538" s="47"/>
      <c r="L538" s="47"/>
      <c r="M538" s="47"/>
      <c r="N538" s="47"/>
      <c r="O538" s="47"/>
      <c r="P538" s="47"/>
      <c r="Q538" s="47"/>
      <c r="R538" s="47"/>
      <c r="S538" s="47"/>
      <c r="T538" s="47"/>
    </row>
    <row r="539" spans="1:20" x14ac:dyDescent="0.35">
      <c r="A539" s="84"/>
      <c r="B539" s="84"/>
      <c r="C539" s="74"/>
      <c r="D539" s="84" t="s">
        <v>124</v>
      </c>
      <c r="E539" s="84" t="s">
        <v>60</v>
      </c>
      <c r="F539" s="74"/>
      <c r="G539" s="74">
        <v>1</v>
      </c>
      <c r="H539" s="99"/>
      <c r="I539" s="74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</row>
    <row r="540" spans="1:20" s="75" customFormat="1" ht="21.75" thickBot="1" x14ac:dyDescent="0.4">
      <c r="A540" s="48"/>
      <c r="B540" s="48"/>
      <c r="C540" s="49"/>
      <c r="D540" s="48"/>
      <c r="E540" s="48"/>
      <c r="F540" s="49"/>
      <c r="G540" s="49"/>
      <c r="H540" s="59"/>
      <c r="I540" s="49"/>
      <c r="J540" s="49"/>
      <c r="K540" s="49"/>
      <c r="L540" s="49"/>
      <c r="M540" s="49"/>
      <c r="N540" s="49"/>
      <c r="O540" s="49"/>
      <c r="P540" s="49"/>
      <c r="Q540" s="49"/>
      <c r="R540" s="49"/>
      <c r="S540" s="49"/>
      <c r="T540" s="49"/>
    </row>
    <row r="541" spans="1:20" x14ac:dyDescent="0.35">
      <c r="A541" s="46" t="s">
        <v>74</v>
      </c>
      <c r="B541" s="46" t="s">
        <v>226</v>
      </c>
      <c r="C541" s="51">
        <v>4963</v>
      </c>
      <c r="D541" s="46" t="s">
        <v>76</v>
      </c>
      <c r="E541" s="46" t="s">
        <v>150</v>
      </c>
      <c r="F541" s="19" t="s">
        <v>369</v>
      </c>
      <c r="G541" s="47">
        <v>2</v>
      </c>
      <c r="H541" s="95">
        <v>46156</v>
      </c>
      <c r="I541" s="47"/>
      <c r="J541" s="47"/>
      <c r="K541" s="47"/>
      <c r="L541" s="47"/>
      <c r="M541" s="47"/>
      <c r="N541" s="47"/>
      <c r="O541" s="47"/>
      <c r="P541" s="47"/>
      <c r="Q541" s="47"/>
      <c r="R541" s="47"/>
      <c r="S541" s="47"/>
      <c r="T541" s="47"/>
    </row>
    <row r="542" spans="1:20" x14ac:dyDescent="0.35">
      <c r="A542" s="21"/>
      <c r="B542" s="21"/>
      <c r="C542" s="17"/>
      <c r="D542" s="21" t="s">
        <v>80</v>
      </c>
      <c r="E542" s="21" t="s">
        <v>19</v>
      </c>
      <c r="F542" s="17"/>
      <c r="G542" s="17">
        <v>2</v>
      </c>
      <c r="H542" s="93"/>
    </row>
    <row r="543" spans="1:20" x14ac:dyDescent="0.35">
      <c r="A543" s="21"/>
      <c r="B543" s="21"/>
      <c r="C543" s="17"/>
      <c r="D543" s="21" t="s">
        <v>77</v>
      </c>
      <c r="E543" s="89" t="s">
        <v>20</v>
      </c>
      <c r="F543" s="17"/>
      <c r="G543" s="17">
        <v>2</v>
      </c>
      <c r="H543" s="93"/>
    </row>
    <row r="544" spans="1:20" x14ac:dyDescent="0.35">
      <c r="A544" s="21"/>
      <c r="B544" s="21"/>
      <c r="C544" s="17"/>
      <c r="D544" s="21" t="s">
        <v>227</v>
      </c>
      <c r="E544" s="21" t="s">
        <v>228</v>
      </c>
      <c r="F544" s="17"/>
      <c r="G544" s="17">
        <v>2</v>
      </c>
      <c r="H544" s="93"/>
    </row>
    <row r="545" spans="1:20" x14ac:dyDescent="0.35">
      <c r="A545" s="21"/>
      <c r="B545" s="21"/>
      <c r="C545" s="17"/>
      <c r="D545" s="21" t="s">
        <v>123</v>
      </c>
      <c r="E545" s="21" t="s">
        <v>25</v>
      </c>
      <c r="F545" s="17"/>
      <c r="G545" s="17">
        <v>2</v>
      </c>
      <c r="H545" s="93"/>
    </row>
    <row r="546" spans="1:20" x14ac:dyDescent="0.35">
      <c r="A546" s="21"/>
      <c r="B546" s="21"/>
      <c r="C546" s="17"/>
      <c r="D546" s="21" t="s">
        <v>87</v>
      </c>
      <c r="E546" s="21" t="s">
        <v>21</v>
      </c>
      <c r="F546" s="17"/>
      <c r="G546" s="17">
        <v>2</v>
      </c>
      <c r="H546" s="93"/>
    </row>
    <row r="547" spans="1:20" x14ac:dyDescent="0.35">
      <c r="A547" s="21"/>
      <c r="B547" s="21"/>
      <c r="C547" s="17"/>
      <c r="D547" s="21" t="s">
        <v>75</v>
      </c>
      <c r="E547" s="21" t="s">
        <v>55</v>
      </c>
      <c r="F547" s="17"/>
      <c r="G547" s="17">
        <v>2</v>
      </c>
      <c r="H547" s="93"/>
    </row>
    <row r="548" spans="1:20" x14ac:dyDescent="0.35">
      <c r="A548" s="21"/>
      <c r="B548" s="21"/>
      <c r="C548" s="17"/>
      <c r="D548" s="21" t="s">
        <v>342</v>
      </c>
      <c r="E548" s="21" t="s">
        <v>343</v>
      </c>
      <c r="F548" s="17"/>
      <c r="G548" s="17">
        <v>2</v>
      </c>
      <c r="H548" s="93"/>
    </row>
    <row r="549" spans="1:20" x14ac:dyDescent="0.35">
      <c r="A549" s="21"/>
      <c r="B549" s="21"/>
      <c r="C549" s="17"/>
      <c r="D549" s="21" t="s">
        <v>94</v>
      </c>
      <c r="E549" s="21" t="s">
        <v>18</v>
      </c>
      <c r="F549" s="17"/>
      <c r="G549" s="17">
        <v>48</v>
      </c>
      <c r="H549" s="93"/>
    </row>
    <row r="550" spans="1:20" s="76" customFormat="1" ht="21.75" thickBot="1" x14ac:dyDescent="0.4">
      <c r="A550" s="48"/>
      <c r="B550" s="48"/>
      <c r="C550" s="49"/>
      <c r="D550" s="48"/>
      <c r="E550" s="48"/>
      <c r="G550" s="49"/>
      <c r="H550" s="94"/>
      <c r="I550" s="49"/>
      <c r="J550" s="49"/>
      <c r="K550" s="49"/>
      <c r="L550" s="49"/>
      <c r="M550" s="49"/>
      <c r="N550" s="49"/>
      <c r="O550" s="49"/>
      <c r="P550" s="49"/>
      <c r="Q550" s="49"/>
      <c r="R550" s="49"/>
      <c r="S550" s="49"/>
      <c r="T550" s="49"/>
    </row>
    <row r="551" spans="1:20" x14ac:dyDescent="0.35">
      <c r="A551" s="46" t="s">
        <v>136</v>
      </c>
      <c r="B551" s="46" t="s">
        <v>223</v>
      </c>
      <c r="C551" s="47">
        <v>4964</v>
      </c>
      <c r="D551" s="46" t="s">
        <v>76</v>
      </c>
      <c r="E551" s="46" t="s">
        <v>150</v>
      </c>
      <c r="F551" s="47" t="s">
        <v>440</v>
      </c>
      <c r="G551" s="19">
        <v>1</v>
      </c>
      <c r="H551" s="95">
        <v>46156</v>
      </c>
      <c r="I551" s="47"/>
      <c r="J551" s="47"/>
      <c r="K551" s="47"/>
      <c r="L551" s="47"/>
      <c r="M551" s="47">
        <v>0.25</v>
      </c>
      <c r="N551" s="47"/>
      <c r="O551" s="47"/>
      <c r="P551" s="47"/>
      <c r="Q551" s="47"/>
      <c r="R551" s="47"/>
      <c r="S551" s="47"/>
      <c r="T551" s="47"/>
    </row>
    <row r="552" spans="1:20" x14ac:dyDescent="0.35">
      <c r="A552" s="21"/>
      <c r="B552" s="21"/>
      <c r="C552" s="17"/>
      <c r="D552" s="21" t="s">
        <v>106</v>
      </c>
      <c r="E552" s="21" t="s">
        <v>69</v>
      </c>
      <c r="F552" s="17"/>
      <c r="G552" s="72">
        <v>1</v>
      </c>
      <c r="H552" s="93"/>
      <c r="J552" s="17">
        <v>1</v>
      </c>
    </row>
    <row r="553" spans="1:20" x14ac:dyDescent="0.35">
      <c r="A553" s="21"/>
      <c r="B553" s="21"/>
      <c r="C553" s="17"/>
      <c r="D553" s="21" t="s">
        <v>77</v>
      </c>
      <c r="E553" s="21" t="s">
        <v>20</v>
      </c>
      <c r="F553" s="17"/>
      <c r="G553" s="72">
        <v>1</v>
      </c>
      <c r="H553" s="93"/>
    </row>
    <row r="554" spans="1:20" x14ac:dyDescent="0.35">
      <c r="A554" s="21"/>
      <c r="B554" s="21"/>
      <c r="C554" s="17"/>
      <c r="D554" s="21" t="s">
        <v>105</v>
      </c>
      <c r="E554" s="21" t="s">
        <v>67</v>
      </c>
      <c r="F554" s="17"/>
      <c r="G554" s="72">
        <v>1</v>
      </c>
      <c r="H554" s="93"/>
    </row>
    <row r="555" spans="1:20" x14ac:dyDescent="0.35">
      <c r="A555" s="21"/>
      <c r="B555" s="21"/>
      <c r="C555" s="17"/>
      <c r="D555" s="21" t="s">
        <v>282</v>
      </c>
      <c r="E555" s="21" t="s">
        <v>283</v>
      </c>
      <c r="F555" s="17"/>
      <c r="G555" s="72">
        <v>1</v>
      </c>
      <c r="H555" s="93"/>
    </row>
    <row r="556" spans="1:20" x14ac:dyDescent="0.35">
      <c r="A556" s="21"/>
      <c r="B556" s="21"/>
      <c r="C556" s="17"/>
      <c r="D556" s="21" t="s">
        <v>93</v>
      </c>
      <c r="E556" s="21" t="s">
        <v>14</v>
      </c>
      <c r="F556" s="17"/>
      <c r="G556" s="72">
        <v>1</v>
      </c>
      <c r="H556" s="93"/>
      <c r="J556" s="17">
        <v>0.5</v>
      </c>
      <c r="M556" s="17">
        <v>0.5</v>
      </c>
    </row>
    <row r="557" spans="1:20" x14ac:dyDescent="0.35">
      <c r="A557" s="21"/>
      <c r="B557" s="21"/>
      <c r="C557" s="17"/>
      <c r="D557" s="21" t="s">
        <v>96</v>
      </c>
      <c r="E557" s="21" t="s">
        <v>139</v>
      </c>
      <c r="F557" s="17"/>
      <c r="G557" s="72">
        <v>24</v>
      </c>
      <c r="H557" s="93"/>
    </row>
    <row r="558" spans="1:20" x14ac:dyDescent="0.35">
      <c r="A558" s="21"/>
      <c r="B558" s="21"/>
      <c r="C558" s="17"/>
      <c r="D558" s="21" t="s">
        <v>111</v>
      </c>
      <c r="E558" s="21" t="s">
        <v>117</v>
      </c>
      <c r="F558" s="17"/>
      <c r="G558" s="72">
        <v>1</v>
      </c>
      <c r="H558" s="93"/>
    </row>
    <row r="559" spans="1:20" s="76" customFormat="1" ht="21.75" thickBot="1" x14ac:dyDescent="0.4">
      <c r="A559" s="48"/>
      <c r="B559" s="48"/>
      <c r="C559" s="49"/>
      <c r="D559" s="48"/>
      <c r="E559" s="48"/>
      <c r="F559" s="49"/>
      <c r="G559" s="49"/>
      <c r="H559" s="94"/>
      <c r="I559" s="49"/>
      <c r="J559" s="49"/>
      <c r="K559" s="49"/>
      <c r="L559" s="49"/>
      <c r="M559" s="49"/>
      <c r="N559" s="49"/>
      <c r="O559" s="49"/>
      <c r="P559" s="49"/>
      <c r="Q559" s="49"/>
      <c r="R559" s="49"/>
      <c r="S559" s="49"/>
      <c r="T559" s="49"/>
    </row>
    <row r="560" spans="1:20" x14ac:dyDescent="0.35">
      <c r="A560" s="46" t="s">
        <v>315</v>
      </c>
      <c r="B560" s="46" t="s">
        <v>220</v>
      </c>
      <c r="C560" s="47">
        <v>4965</v>
      </c>
      <c r="D560" s="46" t="s">
        <v>76</v>
      </c>
      <c r="E560" s="46" t="s">
        <v>150</v>
      </c>
      <c r="F560" s="87" t="s">
        <v>219</v>
      </c>
      <c r="G560" s="47">
        <v>5</v>
      </c>
      <c r="H560" s="95">
        <v>46157</v>
      </c>
      <c r="I560" s="47"/>
      <c r="J560" s="47"/>
      <c r="K560" s="47"/>
      <c r="L560" s="47"/>
      <c r="M560" s="47"/>
      <c r="N560" s="47"/>
      <c r="O560" s="47"/>
      <c r="P560" s="47"/>
      <c r="Q560" s="47"/>
      <c r="R560" s="47"/>
      <c r="S560" s="47"/>
      <c r="T560" s="47"/>
    </row>
    <row r="561" spans="1:20" x14ac:dyDescent="0.35">
      <c r="A561" s="21"/>
      <c r="B561" s="21"/>
      <c r="C561" s="17"/>
      <c r="D561" s="21" t="s">
        <v>159</v>
      </c>
      <c r="E561" s="21" t="s">
        <v>160</v>
      </c>
      <c r="F561" s="17"/>
      <c r="G561" s="17">
        <v>15</v>
      </c>
      <c r="H561" s="93"/>
    </row>
    <row r="562" spans="1:20" s="76" customFormat="1" ht="21.75" thickBot="1" x14ac:dyDescent="0.4">
      <c r="A562" s="48"/>
      <c r="B562" s="48"/>
      <c r="C562" s="49"/>
      <c r="D562" s="48"/>
      <c r="E562" s="48"/>
      <c r="F562" s="49"/>
      <c r="G562" s="49"/>
      <c r="H562" s="94"/>
      <c r="I562" s="49"/>
      <c r="J562" s="49"/>
      <c r="K562" s="49"/>
      <c r="L562" s="49"/>
      <c r="M562" s="49"/>
      <c r="N562" s="49"/>
      <c r="O562" s="49"/>
      <c r="P562" s="49"/>
      <c r="Q562" s="49"/>
      <c r="R562" s="49"/>
      <c r="S562" s="49"/>
      <c r="T562" s="49"/>
    </row>
    <row r="563" spans="1:20" x14ac:dyDescent="0.35">
      <c r="A563" s="46" t="s">
        <v>74</v>
      </c>
      <c r="B563" s="46" t="s">
        <v>226</v>
      </c>
      <c r="C563" s="47">
        <v>4967</v>
      </c>
      <c r="D563" s="46" t="s">
        <v>589</v>
      </c>
      <c r="E563" s="46" t="s">
        <v>590</v>
      </c>
      <c r="F563" s="19" t="s">
        <v>591</v>
      </c>
      <c r="G563" s="47">
        <v>1</v>
      </c>
      <c r="H563" s="95">
        <v>46157</v>
      </c>
      <c r="I563" s="47"/>
      <c r="J563" s="47"/>
      <c r="K563" s="47"/>
      <c r="L563" s="47"/>
      <c r="M563" s="47"/>
      <c r="N563" s="47"/>
      <c r="O563" s="47"/>
      <c r="P563" s="47"/>
      <c r="Q563" s="47"/>
      <c r="R563" s="47"/>
      <c r="S563" s="47"/>
      <c r="T563" s="47"/>
    </row>
    <row r="564" spans="1:20" s="76" customFormat="1" ht="21.75" thickBot="1" x14ac:dyDescent="0.4">
      <c r="A564" s="48"/>
      <c r="B564" s="48"/>
      <c r="C564" s="49"/>
      <c r="D564" s="48"/>
      <c r="E564" s="48"/>
      <c r="F564" s="86" t="s">
        <v>413</v>
      </c>
      <c r="G564" s="49"/>
      <c r="H564" s="94"/>
      <c r="I564" s="49"/>
      <c r="J564" s="49"/>
      <c r="K564" s="49"/>
      <c r="L564" s="49"/>
      <c r="M564" s="49"/>
      <c r="N564" s="49"/>
      <c r="O564" s="49"/>
      <c r="P564" s="49"/>
      <c r="Q564" s="49"/>
      <c r="R564" s="49"/>
      <c r="S564" s="49"/>
      <c r="T564" s="49"/>
    </row>
    <row r="565" spans="1:20" x14ac:dyDescent="0.35">
      <c r="A565" s="46" t="s">
        <v>592</v>
      </c>
      <c r="B565" s="46"/>
      <c r="C565" s="47">
        <v>4968</v>
      </c>
      <c r="D565" s="46" t="s">
        <v>593</v>
      </c>
      <c r="E565" s="46" t="s">
        <v>594</v>
      </c>
      <c r="F565" s="87" t="s">
        <v>219</v>
      </c>
      <c r="G565" s="47">
        <v>1</v>
      </c>
      <c r="H565" s="95">
        <v>46160</v>
      </c>
      <c r="I565" s="47"/>
      <c r="J565" s="47"/>
      <c r="K565" s="47"/>
      <c r="L565" s="47"/>
      <c r="M565" s="47"/>
      <c r="N565" s="47"/>
      <c r="O565" s="47"/>
      <c r="P565" s="47"/>
      <c r="Q565" s="47"/>
      <c r="R565" s="47"/>
      <c r="S565" s="47"/>
      <c r="T565" s="47"/>
    </row>
    <row r="566" spans="1:20" s="76" customFormat="1" ht="21.75" thickBot="1" x14ac:dyDescent="0.4">
      <c r="A566" s="48"/>
      <c r="B566" s="48"/>
      <c r="C566" s="49"/>
      <c r="D566" s="48"/>
      <c r="E566" s="48"/>
      <c r="F566" s="49"/>
      <c r="G566" s="49"/>
      <c r="H566" s="94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</row>
    <row r="567" spans="1:20" x14ac:dyDescent="0.35">
      <c r="A567" s="46" t="s">
        <v>309</v>
      </c>
      <c r="B567" s="46" t="s">
        <v>490</v>
      </c>
      <c r="C567" s="51">
        <v>4969</v>
      </c>
      <c r="D567" s="46" t="s">
        <v>217</v>
      </c>
      <c r="E567" s="46" t="s">
        <v>218</v>
      </c>
      <c r="F567" s="19" t="s">
        <v>495</v>
      </c>
      <c r="G567" s="47">
        <v>3</v>
      </c>
      <c r="H567" s="95">
        <v>46160</v>
      </c>
      <c r="I567" s="47"/>
      <c r="J567" s="47"/>
      <c r="K567" s="47"/>
      <c r="L567" s="47"/>
      <c r="M567" s="47"/>
      <c r="N567" s="47"/>
      <c r="O567" s="47"/>
      <c r="P567" s="47"/>
      <c r="Q567" s="47"/>
      <c r="R567" s="47"/>
      <c r="S567" s="47"/>
      <c r="T567" s="47"/>
    </row>
    <row r="568" spans="1:20" x14ac:dyDescent="0.35">
      <c r="A568" s="21"/>
      <c r="B568" s="21"/>
      <c r="C568" s="17"/>
      <c r="D568" s="21" t="s">
        <v>84</v>
      </c>
      <c r="E568" s="21" t="s">
        <v>13</v>
      </c>
      <c r="F568" s="17"/>
      <c r="G568" s="17">
        <v>3</v>
      </c>
      <c r="H568" s="93"/>
    </row>
    <row r="569" spans="1:20" x14ac:dyDescent="0.35">
      <c r="A569" s="21"/>
      <c r="B569" s="21"/>
      <c r="C569" s="17"/>
      <c r="D569" s="21" t="s">
        <v>276</v>
      </c>
      <c r="E569" s="21" t="s">
        <v>277</v>
      </c>
      <c r="F569" s="17"/>
      <c r="G569" s="17">
        <v>3</v>
      </c>
      <c r="H569" s="93"/>
    </row>
    <row r="570" spans="1:20" x14ac:dyDescent="0.35">
      <c r="A570" s="21"/>
      <c r="B570" s="21"/>
      <c r="C570" s="17"/>
      <c r="D570" s="21" t="s">
        <v>456</v>
      </c>
      <c r="E570" s="21" t="s">
        <v>457</v>
      </c>
      <c r="F570" s="17"/>
      <c r="G570" s="17">
        <v>72</v>
      </c>
      <c r="H570" s="93"/>
    </row>
    <row r="571" spans="1:20" x14ac:dyDescent="0.35">
      <c r="A571" s="21"/>
      <c r="B571" s="21"/>
      <c r="C571" s="17"/>
      <c r="D571" s="21" t="s">
        <v>310</v>
      </c>
      <c r="E571" s="21" t="s">
        <v>311</v>
      </c>
      <c r="F571" s="17"/>
      <c r="G571" s="17">
        <v>3</v>
      </c>
      <c r="H571" s="93"/>
    </row>
    <row r="572" spans="1:20" x14ac:dyDescent="0.35">
      <c r="A572" s="21"/>
      <c r="B572" s="21"/>
      <c r="C572" s="17"/>
      <c r="D572" s="21" t="s">
        <v>499</v>
      </c>
      <c r="E572" s="21" t="s">
        <v>500</v>
      </c>
      <c r="F572" s="17"/>
      <c r="G572" s="17">
        <v>3</v>
      </c>
      <c r="H572" s="93"/>
    </row>
    <row r="573" spans="1:20" x14ac:dyDescent="0.35">
      <c r="A573" s="21"/>
      <c r="B573" s="21"/>
      <c r="C573" s="17"/>
      <c r="D573" s="21" t="s">
        <v>312</v>
      </c>
      <c r="E573" s="21" t="s">
        <v>313</v>
      </c>
      <c r="F573" s="17"/>
      <c r="G573" s="17">
        <v>9</v>
      </c>
      <c r="H573" s="93"/>
    </row>
    <row r="574" spans="1:20" x14ac:dyDescent="0.35">
      <c r="A574" s="21"/>
      <c r="B574" s="21"/>
      <c r="C574" s="17"/>
      <c r="D574" s="21" t="s">
        <v>210</v>
      </c>
      <c r="E574" s="21" t="s">
        <v>211</v>
      </c>
      <c r="F574" s="17"/>
      <c r="G574" s="17">
        <v>6</v>
      </c>
      <c r="H574" s="93"/>
    </row>
    <row r="575" spans="1:20" s="76" customFormat="1" ht="21.75" thickBot="1" x14ac:dyDescent="0.4">
      <c r="A575" s="48"/>
      <c r="B575" s="48"/>
      <c r="C575" s="49"/>
      <c r="D575" s="48"/>
      <c r="E575" s="48"/>
      <c r="F575" s="49"/>
      <c r="G575" s="49"/>
      <c r="H575" s="94"/>
      <c r="I575" s="49"/>
      <c r="J575" s="49"/>
      <c r="K575" s="49"/>
      <c r="L575" s="49"/>
      <c r="M575" s="49"/>
      <c r="N575" s="49"/>
      <c r="O575" s="49"/>
      <c r="P575" s="49"/>
      <c r="Q575" s="49"/>
      <c r="R575" s="49"/>
      <c r="S575" s="49"/>
      <c r="T575" s="49"/>
    </row>
    <row r="576" spans="1:20" x14ac:dyDescent="0.35">
      <c r="A576" s="46" t="s">
        <v>11</v>
      </c>
      <c r="B576" s="46" t="s">
        <v>600</v>
      </c>
      <c r="C576" s="53">
        <v>4970</v>
      </c>
      <c r="D576" s="46" t="s">
        <v>97</v>
      </c>
      <c r="E576" s="46" t="s">
        <v>24</v>
      </c>
      <c r="F576" s="47"/>
      <c r="G576" s="47">
        <v>1</v>
      </c>
      <c r="H576" s="95">
        <v>46160</v>
      </c>
      <c r="I576" s="47"/>
      <c r="J576" s="47"/>
      <c r="K576" s="47">
        <v>0.5</v>
      </c>
      <c r="L576" s="47"/>
      <c r="M576" s="47"/>
      <c r="N576" s="47">
        <v>0.5</v>
      </c>
      <c r="O576" s="47"/>
      <c r="P576" s="47"/>
      <c r="Q576" s="47"/>
      <c r="R576" s="47"/>
      <c r="S576" s="47"/>
      <c r="T576" s="47"/>
    </row>
    <row r="577" spans="1:20" x14ac:dyDescent="0.35">
      <c r="A577" s="21"/>
      <c r="B577" s="21"/>
      <c r="C577" s="17"/>
      <c r="D577" s="21" t="s">
        <v>100</v>
      </c>
      <c r="E577" s="21" t="s">
        <v>50</v>
      </c>
      <c r="F577" s="17"/>
      <c r="G577" s="17">
        <v>1</v>
      </c>
      <c r="H577" s="93"/>
    </row>
    <row r="578" spans="1:20" x14ac:dyDescent="0.35">
      <c r="A578" s="21"/>
      <c r="B578" s="21"/>
      <c r="C578" s="17"/>
      <c r="D578" s="21" t="s">
        <v>98</v>
      </c>
      <c r="E578" s="21" t="s">
        <v>57</v>
      </c>
      <c r="F578" s="17" t="s">
        <v>421</v>
      </c>
      <c r="G578" s="17">
        <v>1</v>
      </c>
      <c r="H578" s="93"/>
    </row>
    <row r="579" spans="1:20" x14ac:dyDescent="0.35">
      <c r="A579" s="21"/>
      <c r="B579" s="21"/>
      <c r="C579" s="17"/>
      <c r="D579" s="21" t="s">
        <v>93</v>
      </c>
      <c r="E579" s="21" t="s">
        <v>601</v>
      </c>
      <c r="F579" s="17"/>
      <c r="G579" s="17">
        <v>1</v>
      </c>
      <c r="H579" s="93"/>
      <c r="K579" s="17">
        <v>0.5</v>
      </c>
      <c r="N579" s="17">
        <v>0.5</v>
      </c>
    </row>
    <row r="580" spans="1:20" x14ac:dyDescent="0.35">
      <c r="A580" s="21"/>
      <c r="B580" s="21"/>
      <c r="C580" s="17"/>
      <c r="D580" s="21" t="s">
        <v>99</v>
      </c>
      <c r="E580" s="21" t="s">
        <v>418</v>
      </c>
      <c r="F580" s="17"/>
      <c r="G580" s="17">
        <v>1</v>
      </c>
      <c r="H580" s="93"/>
      <c r="K580" s="17">
        <v>0.5</v>
      </c>
      <c r="N580" s="17">
        <v>0.5</v>
      </c>
    </row>
    <row r="581" spans="1:20" x14ac:dyDescent="0.35">
      <c r="A581" s="21"/>
      <c r="B581" s="21"/>
      <c r="C581" s="17"/>
      <c r="D581" s="21" t="s">
        <v>87</v>
      </c>
      <c r="E581" s="21" t="s">
        <v>21</v>
      </c>
      <c r="F581" s="17"/>
      <c r="G581" s="17">
        <v>1</v>
      </c>
      <c r="H581" s="93"/>
      <c r="K581" s="17">
        <v>0.5</v>
      </c>
      <c r="N581" s="17">
        <v>0.5</v>
      </c>
    </row>
    <row r="582" spans="1:20" x14ac:dyDescent="0.35">
      <c r="A582" s="21"/>
      <c r="B582" s="21"/>
      <c r="C582" s="17"/>
      <c r="D582" s="21" t="s">
        <v>107</v>
      </c>
      <c r="E582" s="21" t="s">
        <v>602</v>
      </c>
      <c r="F582" s="17"/>
      <c r="G582" s="17">
        <v>1</v>
      </c>
      <c r="H582" s="93"/>
      <c r="K582" s="17">
        <v>0.5</v>
      </c>
      <c r="N582" s="17">
        <v>0.5</v>
      </c>
    </row>
    <row r="583" spans="1:20" x14ac:dyDescent="0.35">
      <c r="A583" s="21"/>
      <c r="B583" s="21"/>
      <c r="C583" s="17"/>
      <c r="D583" s="21" t="s">
        <v>365</v>
      </c>
      <c r="E583" s="21" t="s">
        <v>366</v>
      </c>
      <c r="F583" s="17"/>
      <c r="G583" s="17">
        <v>1</v>
      </c>
      <c r="H583" s="93"/>
    </row>
    <row r="584" spans="1:20" x14ac:dyDescent="0.35">
      <c r="A584" s="21"/>
      <c r="B584" s="21"/>
      <c r="C584" s="17"/>
      <c r="D584" s="21" t="s">
        <v>137</v>
      </c>
      <c r="E584" s="21" t="s">
        <v>138</v>
      </c>
      <c r="F584" s="17"/>
      <c r="G584" s="17">
        <v>3</v>
      </c>
      <c r="H584" s="93"/>
    </row>
    <row r="585" spans="1:20" x14ac:dyDescent="0.35">
      <c r="A585" s="21"/>
      <c r="B585" s="21"/>
      <c r="C585" s="17"/>
      <c r="D585" s="21" t="s">
        <v>82</v>
      </c>
      <c r="E585" s="21" t="s">
        <v>26</v>
      </c>
      <c r="F585" s="17"/>
      <c r="G585" s="17">
        <v>1</v>
      </c>
      <c r="H585" s="93"/>
    </row>
    <row r="586" spans="1:20" x14ac:dyDescent="0.35">
      <c r="A586" s="21"/>
      <c r="B586" s="21"/>
      <c r="C586" s="17"/>
      <c r="D586" s="21" t="s">
        <v>470</v>
      </c>
      <c r="E586" s="21" t="s">
        <v>471</v>
      </c>
      <c r="F586" s="17"/>
      <c r="G586" s="17">
        <v>1</v>
      </c>
      <c r="H586" s="93"/>
    </row>
    <row r="587" spans="1:20" s="76" customFormat="1" ht="21.75" thickBot="1" x14ac:dyDescent="0.4">
      <c r="A587" s="48"/>
      <c r="B587" s="48"/>
      <c r="C587" s="49"/>
      <c r="D587" s="48"/>
      <c r="E587" s="48"/>
      <c r="F587" s="49"/>
      <c r="G587" s="49"/>
      <c r="H587" s="94"/>
      <c r="I587" s="49"/>
      <c r="J587" s="49"/>
      <c r="K587" s="49"/>
      <c r="L587" s="49"/>
      <c r="M587" s="49"/>
      <c r="N587" s="49"/>
      <c r="O587" s="49"/>
      <c r="P587" s="49"/>
      <c r="Q587" s="49"/>
      <c r="R587" s="49"/>
      <c r="S587" s="49"/>
      <c r="T587" s="49"/>
    </row>
    <row r="588" spans="1:20" x14ac:dyDescent="0.35">
      <c r="A588" s="21" t="s">
        <v>52</v>
      </c>
      <c r="B588" s="21" t="s">
        <v>53</v>
      </c>
      <c r="C588" s="20">
        <v>4971</v>
      </c>
      <c r="D588" s="21" t="s">
        <v>76</v>
      </c>
      <c r="E588" s="21" t="s">
        <v>150</v>
      </c>
      <c r="F588" s="17"/>
      <c r="G588" s="17">
        <v>1</v>
      </c>
      <c r="H588" s="93">
        <v>46160</v>
      </c>
      <c r="K588" s="17">
        <v>0.25</v>
      </c>
      <c r="N588" s="17">
        <v>0.25</v>
      </c>
    </row>
    <row r="589" spans="1:20" x14ac:dyDescent="0.35">
      <c r="A589" s="21"/>
      <c r="B589" s="21"/>
      <c r="C589" s="17"/>
      <c r="D589" s="21" t="s">
        <v>106</v>
      </c>
      <c r="E589" s="21" t="s">
        <v>69</v>
      </c>
      <c r="F589" s="17"/>
      <c r="G589" s="17">
        <v>1</v>
      </c>
      <c r="H589" s="93"/>
      <c r="K589" s="17">
        <v>0.5</v>
      </c>
      <c r="N589" s="17">
        <v>0.5</v>
      </c>
    </row>
    <row r="590" spans="1:20" x14ac:dyDescent="0.35">
      <c r="A590" s="21"/>
      <c r="B590" s="21"/>
      <c r="C590" s="17"/>
      <c r="D590" s="21" t="s">
        <v>77</v>
      </c>
      <c r="E590" s="21" t="s">
        <v>20</v>
      </c>
      <c r="F590" s="17"/>
      <c r="G590" s="17">
        <v>1</v>
      </c>
      <c r="H590" s="93"/>
    </row>
    <row r="591" spans="1:20" x14ac:dyDescent="0.35">
      <c r="A591" s="21"/>
      <c r="B591" s="21"/>
      <c r="C591" s="17"/>
      <c r="D591" s="21" t="s">
        <v>93</v>
      </c>
      <c r="E591" s="21" t="s">
        <v>14</v>
      </c>
      <c r="F591" s="17" t="s">
        <v>314</v>
      </c>
      <c r="G591" s="17">
        <v>1</v>
      </c>
      <c r="H591" s="93"/>
      <c r="K591" s="17">
        <v>0.5</v>
      </c>
      <c r="N591" s="17">
        <v>0.5</v>
      </c>
    </row>
    <row r="592" spans="1:20" x14ac:dyDescent="0.35">
      <c r="A592" s="21"/>
      <c r="B592" s="21"/>
      <c r="C592" s="17"/>
      <c r="D592" s="21" t="s">
        <v>123</v>
      </c>
      <c r="E592" s="21" t="s">
        <v>25</v>
      </c>
      <c r="F592" s="17"/>
      <c r="G592" s="17">
        <v>1</v>
      </c>
      <c r="H592" s="93"/>
      <c r="K592" s="17">
        <v>0.5</v>
      </c>
      <c r="N592" s="17">
        <v>0.5</v>
      </c>
    </row>
    <row r="593" spans="1:20" x14ac:dyDescent="0.35">
      <c r="A593" s="21"/>
      <c r="B593" s="21"/>
      <c r="C593" s="17"/>
      <c r="D593" s="21" t="s">
        <v>87</v>
      </c>
      <c r="E593" s="21" t="s">
        <v>21</v>
      </c>
      <c r="F593" s="17"/>
      <c r="G593" s="17">
        <v>1</v>
      </c>
      <c r="H593" s="93"/>
      <c r="K593" s="17">
        <v>0.5</v>
      </c>
      <c r="N593" s="17">
        <v>0.5</v>
      </c>
    </row>
    <row r="594" spans="1:20" x14ac:dyDescent="0.35">
      <c r="A594" s="21"/>
      <c r="B594" s="21"/>
      <c r="C594" s="17"/>
      <c r="D594" s="21" t="s">
        <v>79</v>
      </c>
      <c r="E594" s="21" t="s">
        <v>73</v>
      </c>
      <c r="F594" s="17"/>
      <c r="G594" s="17">
        <v>1</v>
      </c>
      <c r="H594" s="93"/>
      <c r="K594" s="17">
        <v>0.5</v>
      </c>
      <c r="N594" s="17">
        <v>0.5</v>
      </c>
    </row>
    <row r="595" spans="1:20" x14ac:dyDescent="0.35">
      <c r="A595" s="21"/>
      <c r="B595" s="21"/>
      <c r="C595" s="17"/>
      <c r="D595" s="21" t="s">
        <v>75</v>
      </c>
      <c r="E595" s="21" t="s">
        <v>55</v>
      </c>
      <c r="F595" s="17"/>
      <c r="G595" s="17">
        <v>1</v>
      </c>
      <c r="H595" s="93"/>
      <c r="K595" s="17">
        <v>0.5</v>
      </c>
      <c r="N595" s="17">
        <v>0.5</v>
      </c>
    </row>
    <row r="596" spans="1:20" x14ac:dyDescent="0.35">
      <c r="A596" s="21"/>
      <c r="B596" s="21"/>
      <c r="C596" s="17"/>
      <c r="D596" s="21" t="s">
        <v>81</v>
      </c>
      <c r="E596" s="21" t="s">
        <v>15</v>
      </c>
      <c r="F596" s="17"/>
      <c r="G596" s="17">
        <v>1</v>
      </c>
      <c r="H596" s="93"/>
      <c r="K596" s="17">
        <v>0.5</v>
      </c>
      <c r="N596" s="17">
        <v>0.5</v>
      </c>
    </row>
    <row r="597" spans="1:20" x14ac:dyDescent="0.35">
      <c r="A597" s="21"/>
      <c r="B597" s="21"/>
      <c r="C597" s="17"/>
      <c r="D597" s="21" t="s">
        <v>96</v>
      </c>
      <c r="E597" s="21" t="s">
        <v>139</v>
      </c>
      <c r="F597" s="17"/>
      <c r="G597" s="17">
        <v>24</v>
      </c>
      <c r="H597" s="93"/>
    </row>
    <row r="598" spans="1:20" s="76" customFormat="1" ht="21.75" thickBot="1" x14ac:dyDescent="0.4">
      <c r="A598" s="48"/>
      <c r="B598" s="48"/>
      <c r="C598" s="49"/>
      <c r="D598" s="48"/>
      <c r="E598" s="48"/>
      <c r="F598" s="49"/>
      <c r="G598" s="49"/>
      <c r="H598" s="94"/>
      <c r="I598" s="49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</row>
    <row r="599" spans="1:20" x14ac:dyDescent="0.35">
      <c r="A599" s="21" t="s">
        <v>11</v>
      </c>
      <c r="B599" s="21" t="s">
        <v>600</v>
      </c>
      <c r="C599" s="16">
        <v>4972</v>
      </c>
      <c r="D599" s="21" t="s">
        <v>603</v>
      </c>
      <c r="E599" s="21" t="s">
        <v>604</v>
      </c>
      <c r="F599" s="17"/>
      <c r="G599" s="17">
        <v>2</v>
      </c>
      <c r="H599" s="93">
        <v>46161</v>
      </c>
    </row>
    <row r="600" spans="1:20" x14ac:dyDescent="0.35">
      <c r="A600" s="21"/>
      <c r="B600" s="21"/>
      <c r="C600" s="17"/>
      <c r="D600" s="21" t="s">
        <v>605</v>
      </c>
      <c r="E600" s="21" t="s">
        <v>606</v>
      </c>
      <c r="F600" s="17"/>
      <c r="G600" s="17">
        <v>2</v>
      </c>
      <c r="H600" s="93"/>
    </row>
    <row r="601" spans="1:20" x14ac:dyDescent="0.35">
      <c r="A601" s="21"/>
      <c r="B601" s="21"/>
      <c r="C601" s="17"/>
      <c r="D601" s="21" t="s">
        <v>77</v>
      </c>
      <c r="E601" s="21" t="s">
        <v>20</v>
      </c>
      <c r="F601" s="17"/>
      <c r="G601" s="17">
        <v>2</v>
      </c>
      <c r="H601" s="93"/>
    </row>
    <row r="602" spans="1:20" x14ac:dyDescent="0.35">
      <c r="A602" s="21"/>
      <c r="B602" s="21"/>
      <c r="C602" s="17"/>
      <c r="D602" s="21"/>
      <c r="E602" s="21"/>
      <c r="F602" s="17"/>
      <c r="G602" s="17"/>
      <c r="H602" s="93"/>
    </row>
    <row r="603" spans="1:20" s="76" customFormat="1" ht="21.75" thickBot="1" x14ac:dyDescent="0.4">
      <c r="A603" s="48"/>
      <c r="B603" s="48"/>
      <c r="C603" s="49"/>
      <c r="D603" s="48"/>
      <c r="E603" s="48"/>
      <c r="F603" s="49"/>
      <c r="G603" s="49"/>
      <c r="H603" s="94"/>
      <c r="I603" s="49"/>
      <c r="J603" s="49"/>
      <c r="K603" s="49"/>
      <c r="L603" s="49"/>
      <c r="M603" s="49"/>
      <c r="N603" s="49"/>
      <c r="O603" s="49"/>
      <c r="P603" s="49"/>
      <c r="Q603" s="49"/>
      <c r="R603" s="49"/>
      <c r="S603" s="49"/>
      <c r="T603" s="49"/>
    </row>
    <row r="604" spans="1:20" x14ac:dyDescent="0.35">
      <c r="A604" s="21" t="s">
        <v>52</v>
      </c>
      <c r="B604" s="21" t="s">
        <v>53</v>
      </c>
      <c r="C604" s="20">
        <v>4973</v>
      </c>
      <c r="D604" s="21" t="s">
        <v>300</v>
      </c>
      <c r="E604" s="21" t="s">
        <v>607</v>
      </c>
      <c r="F604" s="17" t="s">
        <v>386</v>
      </c>
      <c r="G604" s="17">
        <v>1</v>
      </c>
      <c r="H604" s="93">
        <v>46161</v>
      </c>
      <c r="L604" s="17">
        <v>1</v>
      </c>
    </row>
    <row r="605" spans="1:20" x14ac:dyDescent="0.35">
      <c r="A605" s="21"/>
      <c r="B605" s="21"/>
      <c r="C605" s="17"/>
      <c r="D605" s="21"/>
      <c r="E605" s="21"/>
      <c r="F605" s="17"/>
      <c r="G605" s="17"/>
      <c r="H605" s="93"/>
    </row>
    <row r="606" spans="1:20" s="76" customFormat="1" ht="21.75" thickBot="1" x14ac:dyDescent="0.4">
      <c r="A606" s="48"/>
      <c r="B606" s="48"/>
      <c r="C606" s="49"/>
      <c r="D606" s="48"/>
      <c r="E606" s="48"/>
      <c r="F606" s="49"/>
      <c r="G606" s="49"/>
      <c r="H606" s="94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</row>
    <row r="607" spans="1:20" x14ac:dyDescent="0.35">
      <c r="A607" s="18" t="s">
        <v>52</v>
      </c>
      <c r="B607" s="18" t="s">
        <v>53</v>
      </c>
      <c r="C607" s="92">
        <v>4974</v>
      </c>
      <c r="D607" s="18" t="s">
        <v>76</v>
      </c>
      <c r="E607" s="18" t="s">
        <v>150</v>
      </c>
      <c r="F607" s="17" t="s">
        <v>608</v>
      </c>
      <c r="G607" s="19">
        <v>2</v>
      </c>
      <c r="H607" s="100">
        <v>46161</v>
      </c>
      <c r="K607" s="17">
        <v>0.5</v>
      </c>
      <c r="N607" s="17">
        <v>0.5</v>
      </c>
    </row>
    <row r="608" spans="1:20" x14ac:dyDescent="0.35">
      <c r="A608" s="21"/>
      <c r="B608" s="21"/>
      <c r="C608" s="17"/>
      <c r="D608" s="21" t="s">
        <v>415</v>
      </c>
      <c r="E608" s="21" t="s">
        <v>416</v>
      </c>
      <c r="F608" s="17"/>
      <c r="G608" s="17">
        <v>2</v>
      </c>
      <c r="H608" s="93"/>
      <c r="K608" s="17">
        <v>1</v>
      </c>
      <c r="N608" s="17">
        <v>1</v>
      </c>
    </row>
    <row r="609" spans="1:20" x14ac:dyDescent="0.35">
      <c r="A609" s="21"/>
      <c r="B609" s="21"/>
      <c r="C609" s="17"/>
      <c r="D609" s="21" t="s">
        <v>77</v>
      </c>
      <c r="E609" s="21" t="s">
        <v>20</v>
      </c>
      <c r="G609" s="17">
        <v>2</v>
      </c>
      <c r="H609" s="93"/>
    </row>
    <row r="610" spans="1:20" x14ac:dyDescent="0.35">
      <c r="A610" s="21"/>
      <c r="B610" s="21"/>
      <c r="C610" s="17"/>
      <c r="D610" s="21" t="s">
        <v>93</v>
      </c>
      <c r="E610" s="21" t="s">
        <v>14</v>
      </c>
      <c r="F610" s="17"/>
      <c r="G610" s="17">
        <v>2</v>
      </c>
      <c r="H610" s="93"/>
      <c r="K610" s="17">
        <v>1</v>
      </c>
      <c r="N610" s="17">
        <v>1</v>
      </c>
    </row>
    <row r="611" spans="1:20" x14ac:dyDescent="0.35">
      <c r="A611" s="21"/>
      <c r="B611" s="21"/>
      <c r="C611" s="17"/>
      <c r="D611" s="21" t="s">
        <v>123</v>
      </c>
      <c r="E611" s="21" t="s">
        <v>25</v>
      </c>
      <c r="F611" s="17"/>
      <c r="G611" s="17">
        <v>2</v>
      </c>
      <c r="H611" s="93"/>
      <c r="K611" s="17">
        <v>1</v>
      </c>
      <c r="N611" s="17">
        <v>1</v>
      </c>
    </row>
    <row r="612" spans="1:20" s="76" customFormat="1" ht="21.75" thickBot="1" x14ac:dyDescent="0.4">
      <c r="A612" s="48"/>
      <c r="B612" s="48"/>
      <c r="C612" s="49"/>
      <c r="D612" s="48" t="s">
        <v>87</v>
      </c>
      <c r="E612" s="48" t="s">
        <v>21</v>
      </c>
      <c r="F612" s="49"/>
      <c r="G612" s="49">
        <v>2</v>
      </c>
      <c r="H612" s="94"/>
      <c r="I612" s="49"/>
      <c r="J612" s="49"/>
      <c r="K612" s="49">
        <v>1</v>
      </c>
      <c r="L612" s="49"/>
      <c r="M612" s="49"/>
      <c r="N612" s="49">
        <v>1</v>
      </c>
      <c r="O612" s="49"/>
      <c r="P612" s="49"/>
      <c r="Q612" s="49"/>
      <c r="R612" s="49"/>
      <c r="S612" s="49"/>
      <c r="T612" s="49"/>
    </row>
    <row r="613" spans="1:20" x14ac:dyDescent="0.35">
      <c r="A613" s="21"/>
      <c r="B613" s="21"/>
      <c r="C613" s="17"/>
      <c r="D613" s="21"/>
      <c r="E613" s="21"/>
      <c r="F613" s="17"/>
      <c r="G613" s="17"/>
      <c r="H613" s="93"/>
    </row>
    <row r="614" spans="1:20" x14ac:dyDescent="0.35">
      <c r="A614" s="21"/>
      <c r="B614" s="21"/>
      <c r="C614" s="17"/>
      <c r="D614" s="21"/>
      <c r="E614" s="21"/>
      <c r="F614" s="17"/>
      <c r="G614" s="17"/>
      <c r="H614" s="93"/>
    </row>
    <row r="615" spans="1:20" x14ac:dyDescent="0.35">
      <c r="A615" s="21"/>
      <c r="B615" s="21"/>
      <c r="C615" s="17"/>
      <c r="D615" s="21"/>
      <c r="E615" s="21"/>
      <c r="F615" s="17"/>
      <c r="G615" s="17"/>
      <c r="H615" s="93"/>
    </row>
    <row r="616" spans="1:20" x14ac:dyDescent="0.35">
      <c r="A616" s="21"/>
      <c r="B616" s="21"/>
      <c r="C616" s="17"/>
      <c r="D616" s="21"/>
      <c r="E616" s="21"/>
      <c r="F616" s="17"/>
      <c r="G616" s="17"/>
      <c r="H616" s="93"/>
    </row>
    <row r="617" spans="1:20" x14ac:dyDescent="0.35">
      <c r="A617" s="21"/>
      <c r="B617" s="21"/>
      <c r="C617" s="17"/>
      <c r="D617" s="21"/>
      <c r="E617" s="21"/>
      <c r="F617" s="17"/>
      <c r="G617" s="17"/>
      <c r="H617" s="93"/>
    </row>
    <row r="618" spans="1:20" x14ac:dyDescent="0.35">
      <c r="A618" s="21"/>
      <c r="B618" s="21"/>
      <c r="C618" s="17"/>
      <c r="D618" s="21"/>
      <c r="E618" s="21"/>
      <c r="F618" s="17"/>
      <c r="G618" s="17"/>
      <c r="H618" s="93"/>
    </row>
    <row r="619" spans="1:20" x14ac:dyDescent="0.35">
      <c r="A619" s="21"/>
      <c r="B619" s="21"/>
      <c r="C619" s="17"/>
      <c r="D619" s="21"/>
      <c r="E619" s="21"/>
      <c r="F619" s="17"/>
      <c r="G619" s="17"/>
      <c r="H619" s="93"/>
    </row>
    <row r="620" spans="1:20" x14ac:dyDescent="0.35">
      <c r="A620" s="21"/>
      <c r="B620" s="21"/>
      <c r="C620" s="17"/>
      <c r="D620" s="21"/>
      <c r="E620" s="21"/>
      <c r="F620" s="17"/>
      <c r="G620" s="17"/>
      <c r="H620" s="93"/>
    </row>
    <row r="621" spans="1:20" x14ac:dyDescent="0.35">
      <c r="A621" s="21"/>
      <c r="B621" s="21"/>
      <c r="C621" s="17"/>
      <c r="D621" s="21"/>
      <c r="E621" s="21"/>
      <c r="F621" s="17"/>
      <c r="G621" s="17"/>
      <c r="H621" s="93"/>
    </row>
    <row r="622" spans="1:20" x14ac:dyDescent="0.35">
      <c r="A622" s="21"/>
      <c r="B622" s="21"/>
      <c r="C622" s="17"/>
      <c r="D622" s="21"/>
      <c r="E622" s="21"/>
      <c r="F622" s="17"/>
      <c r="G622" s="17"/>
      <c r="H622" s="93"/>
    </row>
    <row r="623" spans="1:20" x14ac:dyDescent="0.35">
      <c r="A623" s="21"/>
      <c r="B623" s="21"/>
      <c r="C623" s="17"/>
      <c r="D623" s="21"/>
      <c r="E623" s="21"/>
      <c r="F623" s="17"/>
      <c r="G623" s="17"/>
      <c r="H623" s="93"/>
    </row>
    <row r="624" spans="1:20" x14ac:dyDescent="0.35">
      <c r="A624" s="21"/>
      <c r="B624" s="21"/>
      <c r="C624" s="17"/>
      <c r="D624" s="21"/>
      <c r="E624" s="21"/>
      <c r="F624" s="17"/>
      <c r="G624" s="17"/>
      <c r="H624" s="93"/>
    </row>
    <row r="625" spans="1:8" x14ac:dyDescent="0.35">
      <c r="A625" s="21"/>
      <c r="B625" s="21"/>
      <c r="C625" s="17"/>
      <c r="D625" s="21"/>
      <c r="E625" s="21"/>
      <c r="F625" s="17"/>
      <c r="G625" s="17"/>
      <c r="H625" s="93"/>
    </row>
    <row r="626" spans="1:8" x14ac:dyDescent="0.35">
      <c r="A626" s="21"/>
      <c r="B626" s="21"/>
      <c r="C626" s="17"/>
      <c r="D626" s="21"/>
      <c r="E626" s="21"/>
      <c r="F626" s="17"/>
      <c r="G626" s="17"/>
      <c r="H626" s="93"/>
    </row>
    <row r="627" spans="1:8" x14ac:dyDescent="0.35">
      <c r="A627" s="21"/>
      <c r="B627" s="21"/>
      <c r="C627" s="17"/>
      <c r="D627" s="21"/>
      <c r="E627" s="21"/>
      <c r="F627" s="17"/>
      <c r="G627" s="17"/>
      <c r="H627" s="93"/>
    </row>
    <row r="628" spans="1:8" x14ac:dyDescent="0.35">
      <c r="A628" s="21"/>
      <c r="B628" s="21"/>
      <c r="C628" s="17"/>
      <c r="D628" s="21"/>
      <c r="E628" s="21"/>
      <c r="F628" s="17"/>
      <c r="G628" s="17"/>
      <c r="H628" s="93"/>
    </row>
    <row r="629" spans="1:8" x14ac:dyDescent="0.35">
      <c r="A629" s="21"/>
      <c r="B629" s="21"/>
      <c r="C629" s="17"/>
      <c r="D629" s="21"/>
      <c r="E629" s="21"/>
      <c r="F629" s="17"/>
      <c r="G629" s="17"/>
      <c r="H629" s="93"/>
    </row>
    <row r="630" spans="1:8" x14ac:dyDescent="0.35">
      <c r="A630" s="21"/>
      <c r="B630" s="21"/>
      <c r="C630" s="17"/>
      <c r="D630" s="21"/>
      <c r="E630" s="21"/>
      <c r="F630" s="17"/>
      <c r="G630" s="17"/>
      <c r="H630" s="93"/>
    </row>
    <row r="631" spans="1:8" x14ac:dyDescent="0.35">
      <c r="A631" s="21"/>
      <c r="B631" s="21"/>
      <c r="C631" s="17"/>
      <c r="D631" s="21"/>
      <c r="E631" s="21"/>
      <c r="F631" s="17"/>
      <c r="G631" s="17"/>
      <c r="H631" s="93"/>
    </row>
    <row r="632" spans="1:8" x14ac:dyDescent="0.35">
      <c r="A632" s="21"/>
      <c r="B632" s="21"/>
      <c r="C632" s="17"/>
      <c r="D632" s="21"/>
      <c r="E632" s="21"/>
      <c r="F632" s="17"/>
      <c r="G632" s="17"/>
      <c r="H632" s="93"/>
    </row>
    <row r="633" spans="1:8" x14ac:dyDescent="0.35">
      <c r="A633" s="21"/>
      <c r="B633" s="21"/>
      <c r="C633" s="17"/>
      <c r="D633" s="21"/>
      <c r="E633" s="21"/>
      <c r="F633" s="17"/>
      <c r="G633" s="17"/>
      <c r="H633" s="93"/>
    </row>
    <row r="634" spans="1:8" x14ac:dyDescent="0.35">
      <c r="A634" s="21"/>
      <c r="B634" s="21"/>
      <c r="C634" s="17"/>
      <c r="D634" s="21"/>
      <c r="E634" s="21"/>
      <c r="F634" s="17"/>
      <c r="G634" s="17"/>
      <c r="H634" s="93"/>
    </row>
    <row r="635" spans="1:8" x14ac:dyDescent="0.35">
      <c r="A635" s="21"/>
      <c r="B635" s="21"/>
      <c r="C635" s="17"/>
      <c r="D635" s="21"/>
      <c r="E635" s="21"/>
      <c r="F635" s="17"/>
      <c r="G635" s="17"/>
      <c r="H635" s="93"/>
    </row>
    <row r="636" spans="1:8" x14ac:dyDescent="0.35">
      <c r="A636" s="21"/>
      <c r="B636" s="21"/>
      <c r="C636" s="17"/>
      <c r="D636" s="21"/>
      <c r="E636" s="21"/>
      <c r="F636" s="17"/>
      <c r="G636" s="17"/>
      <c r="H636" s="93"/>
    </row>
    <row r="637" spans="1:8" x14ac:dyDescent="0.35">
      <c r="A637" s="21"/>
      <c r="B637" s="21"/>
      <c r="C637" s="17"/>
      <c r="D637" s="21"/>
      <c r="E637" s="21"/>
      <c r="F637" s="17"/>
      <c r="G637" s="17"/>
      <c r="H637" s="93"/>
    </row>
    <row r="638" spans="1:8" x14ac:dyDescent="0.35">
      <c r="A638" s="21"/>
      <c r="B638" s="21"/>
      <c r="C638" s="17"/>
      <c r="D638" s="21"/>
      <c r="E638" s="21"/>
      <c r="F638" s="17"/>
      <c r="G638" s="17"/>
      <c r="H638" s="93"/>
    </row>
    <row r="639" spans="1:8" x14ac:dyDescent="0.35">
      <c r="A639" s="21"/>
      <c r="B639" s="21"/>
      <c r="C639" s="17"/>
      <c r="D639" s="21"/>
      <c r="E639" s="21"/>
      <c r="F639" s="17"/>
      <c r="G639" s="17"/>
      <c r="H639" s="93"/>
    </row>
    <row r="640" spans="1:8" x14ac:dyDescent="0.35">
      <c r="A640" s="21"/>
      <c r="B640" s="21"/>
      <c r="C640" s="17"/>
      <c r="D640" s="21"/>
      <c r="E640" s="21"/>
      <c r="F640" s="17"/>
      <c r="G640" s="17"/>
      <c r="H640" s="93"/>
    </row>
    <row r="641" spans="1:8" x14ac:dyDescent="0.35">
      <c r="A641" s="21"/>
      <c r="B641" s="21"/>
      <c r="C641" s="17"/>
      <c r="D641" s="21"/>
      <c r="E641" s="21"/>
      <c r="F641" s="17"/>
      <c r="G641" s="17"/>
      <c r="H641" s="93"/>
    </row>
    <row r="642" spans="1:8" x14ac:dyDescent="0.35">
      <c r="A642" s="21"/>
      <c r="B642" s="21"/>
      <c r="C642" s="17"/>
      <c r="D642" s="21"/>
      <c r="E642" s="21"/>
      <c r="F642" s="17"/>
      <c r="G642" s="17"/>
      <c r="H642" s="93"/>
    </row>
    <row r="643" spans="1:8" x14ac:dyDescent="0.35">
      <c r="A643" s="21"/>
      <c r="B643" s="21"/>
      <c r="C643" s="17"/>
      <c r="D643" s="21"/>
      <c r="E643" s="21"/>
      <c r="F643" s="17"/>
      <c r="G643" s="17"/>
      <c r="H643" s="93"/>
    </row>
    <row r="644" spans="1:8" x14ac:dyDescent="0.35">
      <c r="A644" s="21"/>
      <c r="B644" s="21"/>
      <c r="C644" s="17"/>
      <c r="D644" s="21"/>
      <c r="E644" s="21"/>
      <c r="F644" s="17"/>
      <c r="G644" s="17"/>
      <c r="H644" s="93"/>
    </row>
    <row r="645" spans="1:8" x14ac:dyDescent="0.35">
      <c r="A645" s="21"/>
      <c r="B645" s="21"/>
      <c r="C645" s="17"/>
      <c r="D645" s="21"/>
      <c r="E645" s="21"/>
      <c r="F645" s="17"/>
      <c r="G645" s="17"/>
      <c r="H645" s="93"/>
    </row>
    <row r="646" spans="1:8" x14ac:dyDescent="0.35">
      <c r="A646" s="21"/>
      <c r="B646" s="21"/>
      <c r="C646" s="17"/>
      <c r="D646" s="21"/>
      <c r="E646" s="21"/>
      <c r="F646" s="17"/>
      <c r="G646" s="17"/>
      <c r="H646" s="93"/>
    </row>
    <row r="647" spans="1:8" x14ac:dyDescent="0.35">
      <c r="A647" s="21"/>
      <c r="B647" s="21"/>
      <c r="C647" s="17"/>
      <c r="D647" s="21"/>
      <c r="E647" s="21"/>
      <c r="F647" s="17"/>
      <c r="G647" s="17"/>
      <c r="H647" s="93"/>
    </row>
    <row r="648" spans="1:8" x14ac:dyDescent="0.35">
      <c r="A648" s="21"/>
      <c r="B648" s="21"/>
      <c r="C648" s="17"/>
      <c r="D648" s="21"/>
      <c r="E648" s="21"/>
      <c r="F648" s="17"/>
      <c r="G648" s="17"/>
      <c r="H648" s="93"/>
    </row>
    <row r="649" spans="1:8" x14ac:dyDescent="0.35">
      <c r="A649" s="21"/>
      <c r="B649" s="21"/>
      <c r="C649" s="17"/>
      <c r="D649" s="21"/>
      <c r="E649" s="21"/>
      <c r="F649" s="17"/>
      <c r="G649" s="17"/>
      <c r="H649" s="93"/>
    </row>
    <row r="650" spans="1:8" x14ac:dyDescent="0.35">
      <c r="A650" s="21"/>
      <c r="B650" s="21"/>
      <c r="C650" s="17"/>
      <c r="D650" s="21"/>
      <c r="E650" s="21"/>
      <c r="F650" s="17"/>
      <c r="G650" s="17"/>
      <c r="H650" s="93"/>
    </row>
    <row r="651" spans="1:8" x14ac:dyDescent="0.35">
      <c r="A651" s="21"/>
      <c r="B651" s="21"/>
      <c r="C651" s="17"/>
      <c r="D651" s="21"/>
      <c r="E651" s="21"/>
      <c r="F651" s="17"/>
      <c r="G651" s="17"/>
      <c r="H651" s="93"/>
    </row>
    <row r="652" spans="1:8" x14ac:dyDescent="0.35">
      <c r="A652" s="21"/>
      <c r="B652" s="21"/>
      <c r="C652" s="17"/>
      <c r="D652" s="21"/>
      <c r="E652" s="21"/>
      <c r="F652" s="17"/>
      <c r="G652" s="17"/>
      <c r="H652" s="93"/>
    </row>
    <row r="653" spans="1:8" x14ac:dyDescent="0.35">
      <c r="A653" s="21"/>
      <c r="B653" s="21"/>
      <c r="C653" s="17"/>
      <c r="D653" s="21"/>
      <c r="E653" s="21"/>
      <c r="F653" s="17"/>
      <c r="G653" s="17"/>
      <c r="H653" s="93"/>
    </row>
    <row r="654" spans="1:8" x14ac:dyDescent="0.35">
      <c r="A654" s="21"/>
      <c r="B654" s="21"/>
      <c r="C654" s="17"/>
      <c r="D654" s="21"/>
      <c r="E654" s="21"/>
      <c r="F654" s="17"/>
      <c r="G654" s="17"/>
      <c r="H654" s="93"/>
    </row>
    <row r="655" spans="1:8" x14ac:dyDescent="0.35">
      <c r="A655" s="21"/>
      <c r="B655" s="21"/>
      <c r="C655" s="17"/>
      <c r="D655" s="21"/>
      <c r="E655" s="21"/>
      <c r="F655" s="17"/>
      <c r="G655" s="17"/>
      <c r="H655" s="93"/>
    </row>
    <row r="656" spans="1:8" x14ac:dyDescent="0.35">
      <c r="A656" s="21"/>
      <c r="B656" s="21"/>
      <c r="C656" s="17"/>
      <c r="D656" s="21"/>
      <c r="E656" s="21"/>
      <c r="F656" s="17"/>
      <c r="G656" s="17"/>
      <c r="H656" s="93"/>
    </row>
    <row r="657" spans="1:8" x14ac:dyDescent="0.35">
      <c r="A657" s="21"/>
      <c r="B657" s="21"/>
      <c r="C657" s="17"/>
      <c r="D657" s="21"/>
      <c r="E657" s="21"/>
      <c r="F657" s="17"/>
      <c r="G657" s="17"/>
      <c r="H657" s="93"/>
    </row>
    <row r="658" spans="1:8" x14ac:dyDescent="0.35">
      <c r="A658" s="21"/>
      <c r="B658" s="21"/>
      <c r="C658" s="17"/>
      <c r="D658" s="21"/>
      <c r="E658" s="21"/>
      <c r="F658" s="17"/>
      <c r="G658" s="17"/>
      <c r="H658" s="93"/>
    </row>
    <row r="659" spans="1:8" x14ac:dyDescent="0.35">
      <c r="A659" s="21"/>
      <c r="B659" s="21"/>
      <c r="C659" s="17"/>
      <c r="D659" s="21"/>
      <c r="E659" s="21"/>
      <c r="F659" s="17"/>
      <c r="G659" s="17"/>
      <c r="H659" s="93"/>
    </row>
    <row r="660" spans="1:8" x14ac:dyDescent="0.35">
      <c r="A660" s="21"/>
      <c r="B660" s="21"/>
      <c r="C660" s="17"/>
      <c r="D660" s="21"/>
      <c r="E660" s="21"/>
      <c r="F660" s="17"/>
      <c r="G660" s="17"/>
      <c r="H660" s="93"/>
    </row>
    <row r="661" spans="1:8" x14ac:dyDescent="0.35">
      <c r="A661" s="21"/>
      <c r="B661" s="21"/>
      <c r="C661" s="17"/>
      <c r="D661" s="21"/>
      <c r="E661" s="21"/>
      <c r="F661" s="17"/>
      <c r="G661" s="17"/>
      <c r="H661" s="93"/>
    </row>
    <row r="662" spans="1:8" x14ac:dyDescent="0.35">
      <c r="A662" s="21"/>
      <c r="B662" s="21"/>
      <c r="C662" s="17"/>
      <c r="D662" s="21"/>
      <c r="E662" s="21"/>
      <c r="F662" s="17"/>
      <c r="G662" s="17"/>
      <c r="H662" s="93"/>
    </row>
    <row r="663" spans="1:8" x14ac:dyDescent="0.35">
      <c r="A663" s="21"/>
      <c r="B663" s="21"/>
      <c r="C663" s="17"/>
      <c r="D663" s="21"/>
      <c r="E663" s="21"/>
      <c r="F663" s="17"/>
      <c r="G663" s="17"/>
      <c r="H663" s="93"/>
    </row>
    <row r="664" spans="1:8" x14ac:dyDescent="0.35">
      <c r="A664" s="21"/>
      <c r="B664" s="21"/>
      <c r="C664" s="17"/>
      <c r="D664" s="21"/>
      <c r="E664" s="21"/>
      <c r="F664" s="17"/>
      <c r="G664" s="17"/>
      <c r="H664" s="93"/>
    </row>
    <row r="665" spans="1:8" x14ac:dyDescent="0.35">
      <c r="A665" s="21"/>
      <c r="B665" s="21"/>
      <c r="C665" s="17"/>
      <c r="D665" s="21"/>
      <c r="E665" s="21"/>
      <c r="F665" s="17"/>
      <c r="G665" s="17"/>
      <c r="H665" s="93"/>
    </row>
    <row r="666" spans="1:8" x14ac:dyDescent="0.35">
      <c r="A666" s="21"/>
      <c r="B666" s="21"/>
      <c r="C666" s="17"/>
      <c r="D666" s="21"/>
      <c r="E666" s="21"/>
      <c r="F666" s="17"/>
      <c r="G666" s="17"/>
      <c r="H666" s="93"/>
    </row>
    <row r="667" spans="1:8" x14ac:dyDescent="0.35">
      <c r="A667" s="21"/>
      <c r="B667" s="21"/>
      <c r="C667" s="17"/>
      <c r="D667" s="21"/>
      <c r="E667" s="21"/>
      <c r="F667" s="17"/>
      <c r="G667" s="17"/>
      <c r="H667" s="93"/>
    </row>
    <row r="668" spans="1:8" x14ac:dyDescent="0.35">
      <c r="A668" s="21"/>
      <c r="B668" s="21"/>
      <c r="C668" s="17"/>
      <c r="D668" s="21"/>
      <c r="E668" s="21"/>
      <c r="F668" s="17"/>
      <c r="G668" s="17"/>
      <c r="H668" s="93"/>
    </row>
    <row r="669" spans="1:8" x14ac:dyDescent="0.35">
      <c r="A669" s="21"/>
      <c r="B669" s="21"/>
      <c r="C669" s="17"/>
      <c r="D669" s="21"/>
      <c r="E669" s="21"/>
      <c r="F669" s="17"/>
      <c r="G669" s="17"/>
      <c r="H669" s="93"/>
    </row>
    <row r="670" spans="1:8" x14ac:dyDescent="0.35">
      <c r="A670" s="21"/>
      <c r="B670" s="21"/>
      <c r="C670" s="17"/>
      <c r="D670" s="21"/>
      <c r="E670" s="21"/>
      <c r="F670" s="17"/>
      <c r="G670" s="17"/>
      <c r="H670" s="93"/>
    </row>
    <row r="671" spans="1:8" x14ac:dyDescent="0.35">
      <c r="A671" s="21"/>
      <c r="B671" s="21"/>
      <c r="C671" s="17"/>
      <c r="D671" s="21"/>
      <c r="E671" s="21"/>
      <c r="F671" s="17"/>
      <c r="G671" s="17"/>
      <c r="H671" s="93"/>
    </row>
    <row r="672" spans="1:8" x14ac:dyDescent="0.35">
      <c r="A672" s="21"/>
      <c r="B672" s="21"/>
      <c r="C672" s="17"/>
      <c r="D672" s="21"/>
      <c r="E672" s="21"/>
      <c r="F672" s="17"/>
      <c r="G672" s="17"/>
      <c r="H672" s="93"/>
    </row>
    <row r="673" spans="1:8" x14ac:dyDescent="0.35">
      <c r="A673" s="21"/>
      <c r="B673" s="21"/>
      <c r="C673" s="17"/>
      <c r="D673" s="21"/>
      <c r="E673" s="21"/>
      <c r="F673" s="17"/>
      <c r="G673" s="17"/>
      <c r="H673" s="93"/>
    </row>
    <row r="674" spans="1:8" x14ac:dyDescent="0.35">
      <c r="A674" s="21"/>
      <c r="B674" s="21"/>
      <c r="C674" s="17"/>
      <c r="D674" s="21"/>
      <c r="E674" s="21"/>
      <c r="F674" s="17"/>
      <c r="G674" s="17"/>
      <c r="H674" s="93"/>
    </row>
    <row r="675" spans="1:8" x14ac:dyDescent="0.35">
      <c r="A675" s="21"/>
      <c r="B675" s="21"/>
      <c r="C675" s="17"/>
      <c r="D675" s="21"/>
      <c r="E675" s="21"/>
      <c r="F675" s="17"/>
      <c r="G675" s="17"/>
      <c r="H675" s="93"/>
    </row>
    <row r="676" spans="1:8" x14ac:dyDescent="0.35">
      <c r="A676" s="21"/>
      <c r="B676" s="21"/>
      <c r="C676" s="17"/>
      <c r="D676" s="21"/>
      <c r="E676" s="21"/>
      <c r="F676" s="17"/>
      <c r="G676" s="17"/>
      <c r="H676" s="93"/>
    </row>
    <row r="677" spans="1:8" x14ac:dyDescent="0.35">
      <c r="A677" s="21"/>
      <c r="B677" s="21"/>
      <c r="C677" s="17"/>
      <c r="D677" s="21"/>
      <c r="E677" s="21"/>
      <c r="F677" s="17"/>
      <c r="G677" s="17"/>
      <c r="H677" s="93"/>
    </row>
    <row r="678" spans="1:8" x14ac:dyDescent="0.35">
      <c r="A678" s="21"/>
      <c r="B678" s="21"/>
      <c r="C678" s="17"/>
      <c r="D678" s="21"/>
      <c r="E678" s="21"/>
      <c r="F678" s="17"/>
      <c r="G678" s="17"/>
      <c r="H678" s="93"/>
    </row>
    <row r="679" spans="1:8" x14ac:dyDescent="0.35">
      <c r="A679" s="21"/>
      <c r="B679" s="21"/>
      <c r="C679" s="17"/>
      <c r="D679" s="21"/>
      <c r="E679" s="21"/>
      <c r="F679" s="17"/>
      <c r="G679" s="17"/>
      <c r="H679" s="93"/>
    </row>
    <row r="680" spans="1:8" x14ac:dyDescent="0.35">
      <c r="A680" s="21"/>
      <c r="B680" s="21"/>
      <c r="C680" s="17"/>
      <c r="D680" s="21"/>
      <c r="E680" s="21"/>
      <c r="F680" s="17"/>
      <c r="G680" s="17"/>
      <c r="H680" s="93"/>
    </row>
    <row r="681" spans="1:8" x14ac:dyDescent="0.35">
      <c r="A681" s="21"/>
      <c r="B681" s="21"/>
      <c r="C681" s="17"/>
      <c r="D681" s="21"/>
      <c r="E681" s="21"/>
      <c r="F681" s="17"/>
      <c r="G681" s="17"/>
      <c r="H681" s="93"/>
    </row>
    <row r="682" spans="1:8" x14ac:dyDescent="0.35">
      <c r="A682" s="21"/>
      <c r="B682" s="21"/>
      <c r="C682" s="17"/>
      <c r="D682" s="21"/>
      <c r="E682" s="21"/>
      <c r="F682" s="17"/>
      <c r="G682" s="17"/>
      <c r="H682" s="93"/>
    </row>
    <row r="683" spans="1:8" x14ac:dyDescent="0.35">
      <c r="A683" s="21"/>
      <c r="B683" s="21"/>
      <c r="C683" s="17"/>
      <c r="D683" s="21"/>
      <c r="E683" s="21"/>
      <c r="F683" s="17"/>
      <c r="G683" s="17"/>
      <c r="H683" s="93"/>
    </row>
    <row r="684" spans="1:8" x14ac:dyDescent="0.35">
      <c r="A684" s="21"/>
      <c r="B684" s="21"/>
      <c r="C684" s="17"/>
      <c r="D684" s="21"/>
      <c r="E684" s="21"/>
      <c r="F684" s="17"/>
      <c r="G684" s="17"/>
      <c r="H684" s="93"/>
    </row>
    <row r="685" spans="1:8" x14ac:dyDescent="0.35">
      <c r="A685" s="21"/>
      <c r="B685" s="21"/>
      <c r="C685" s="17"/>
      <c r="D685" s="21"/>
      <c r="E685" s="21"/>
      <c r="F685" s="17"/>
      <c r="G685" s="17"/>
      <c r="H685" s="93"/>
    </row>
    <row r="686" spans="1:8" x14ac:dyDescent="0.35">
      <c r="A686" s="21"/>
      <c r="B686" s="21"/>
      <c r="C686" s="17"/>
      <c r="D686" s="21"/>
      <c r="E686" s="21"/>
      <c r="F686" s="17"/>
      <c r="G686" s="17"/>
      <c r="H686" s="93"/>
    </row>
    <row r="687" spans="1:8" x14ac:dyDescent="0.35">
      <c r="A687" s="21"/>
      <c r="B687" s="21"/>
      <c r="C687" s="17"/>
      <c r="D687" s="21"/>
      <c r="E687" s="21"/>
      <c r="F687" s="17"/>
      <c r="G687" s="17"/>
      <c r="H687" s="93"/>
    </row>
    <row r="688" spans="1:8" x14ac:dyDescent="0.35">
      <c r="A688" s="21"/>
      <c r="B688" s="21"/>
      <c r="C688" s="17"/>
      <c r="D688" s="21"/>
      <c r="E688" s="21"/>
      <c r="F688" s="17"/>
      <c r="G688" s="17"/>
      <c r="H688" s="93"/>
    </row>
    <row r="689" spans="1:8" x14ac:dyDescent="0.35">
      <c r="A689" s="21"/>
      <c r="B689" s="21"/>
      <c r="C689" s="17"/>
      <c r="D689" s="21"/>
      <c r="E689" s="21"/>
      <c r="F689" s="17"/>
      <c r="G689" s="17"/>
      <c r="H689" s="93"/>
    </row>
    <row r="690" spans="1:8" x14ac:dyDescent="0.35">
      <c r="A690" s="21"/>
      <c r="B690" s="21"/>
      <c r="C690" s="17"/>
      <c r="D690" s="21"/>
      <c r="E690" s="21"/>
      <c r="F690" s="17"/>
      <c r="G690" s="17"/>
      <c r="H690" s="93"/>
    </row>
    <row r="691" spans="1:8" x14ac:dyDescent="0.35">
      <c r="A691" s="21"/>
      <c r="B691" s="21"/>
      <c r="C691" s="17"/>
      <c r="D691" s="21"/>
      <c r="E691" s="21"/>
      <c r="F691" s="17"/>
      <c r="G691" s="17"/>
      <c r="H691" s="93"/>
    </row>
    <row r="692" spans="1:8" x14ac:dyDescent="0.35">
      <c r="A692" s="21"/>
      <c r="B692" s="21"/>
      <c r="C692" s="17"/>
      <c r="D692" s="21"/>
      <c r="E692" s="21"/>
      <c r="F692" s="17"/>
      <c r="G692" s="17"/>
      <c r="H692" s="93"/>
    </row>
    <row r="693" spans="1:8" x14ac:dyDescent="0.35">
      <c r="A693" s="21"/>
      <c r="B693" s="21"/>
      <c r="C693" s="17"/>
      <c r="D693" s="21"/>
      <c r="E693" s="21"/>
      <c r="F693" s="17"/>
      <c r="G693" s="17"/>
      <c r="H693" s="93"/>
    </row>
    <row r="694" spans="1:8" x14ac:dyDescent="0.35">
      <c r="A694" s="21"/>
      <c r="B694" s="21"/>
      <c r="C694" s="17"/>
      <c r="D694" s="21"/>
      <c r="E694" s="21"/>
      <c r="F694" s="17"/>
      <c r="G694" s="17"/>
      <c r="H694" s="93"/>
    </row>
    <row r="695" spans="1:8" x14ac:dyDescent="0.35">
      <c r="A695" s="21"/>
      <c r="B695" s="21"/>
      <c r="C695" s="17"/>
      <c r="D695" s="21"/>
      <c r="E695" s="21"/>
      <c r="F695" s="17"/>
      <c r="G695" s="17"/>
      <c r="H695" s="93"/>
    </row>
    <row r="696" spans="1:8" x14ac:dyDescent="0.35">
      <c r="A696" s="21"/>
      <c r="B696" s="21"/>
      <c r="C696" s="17"/>
      <c r="D696" s="21"/>
      <c r="E696" s="21"/>
      <c r="F696" s="17"/>
      <c r="G696" s="17"/>
      <c r="H696" s="93"/>
    </row>
    <row r="697" spans="1:8" x14ac:dyDescent="0.35">
      <c r="A697" s="21"/>
      <c r="B697" s="21"/>
      <c r="C697" s="17"/>
      <c r="D697" s="21"/>
      <c r="E697" s="21"/>
      <c r="F697" s="17"/>
      <c r="G697" s="17"/>
      <c r="H697" s="93"/>
    </row>
    <row r="698" spans="1:8" x14ac:dyDescent="0.35">
      <c r="A698" s="21"/>
      <c r="B698" s="21"/>
      <c r="C698" s="17"/>
      <c r="D698" s="21"/>
      <c r="E698" s="21"/>
      <c r="F698" s="17"/>
      <c r="G698" s="17"/>
      <c r="H698" s="93"/>
    </row>
    <row r="699" spans="1:8" x14ac:dyDescent="0.35">
      <c r="A699" s="21"/>
      <c r="B699" s="21"/>
      <c r="C699" s="17"/>
      <c r="D699" s="21"/>
      <c r="E699" s="21"/>
      <c r="F699" s="17"/>
      <c r="G699" s="17"/>
      <c r="H699" s="93"/>
    </row>
    <row r="700" spans="1:8" x14ac:dyDescent="0.35">
      <c r="A700" s="21"/>
      <c r="B700" s="21"/>
      <c r="C700" s="17"/>
      <c r="D700" s="21"/>
      <c r="E700" s="21"/>
      <c r="F700" s="17"/>
      <c r="G700" s="17"/>
      <c r="H700" s="93"/>
    </row>
    <row r="701" spans="1:8" x14ac:dyDescent="0.35">
      <c r="A701" s="21"/>
      <c r="B701" s="21"/>
      <c r="C701" s="17"/>
      <c r="D701" s="21"/>
      <c r="E701" s="21"/>
      <c r="F701" s="17"/>
      <c r="G701" s="17"/>
      <c r="H701" s="93"/>
    </row>
    <row r="702" spans="1:8" x14ac:dyDescent="0.35">
      <c r="A702" s="21"/>
      <c r="B702" s="21"/>
      <c r="C702" s="17"/>
      <c r="D702" s="21"/>
      <c r="E702" s="21"/>
      <c r="F702" s="17"/>
      <c r="G702" s="17"/>
      <c r="H702" s="93"/>
    </row>
    <row r="703" spans="1:8" x14ac:dyDescent="0.35">
      <c r="A703" s="21"/>
      <c r="B703" s="21"/>
      <c r="C703" s="17"/>
      <c r="D703" s="21"/>
      <c r="E703" s="21"/>
      <c r="F703" s="17"/>
      <c r="G703" s="17"/>
      <c r="H703" s="93"/>
    </row>
    <row r="704" spans="1:8" x14ac:dyDescent="0.35">
      <c r="A704" s="21"/>
      <c r="B704" s="21"/>
      <c r="C704" s="17"/>
      <c r="D704" s="21"/>
      <c r="E704" s="21"/>
      <c r="F704" s="17"/>
      <c r="G704" s="17"/>
      <c r="H704" s="93"/>
    </row>
    <row r="705" spans="1:8" x14ac:dyDescent="0.35">
      <c r="A705" s="21"/>
      <c r="B705" s="21"/>
      <c r="C705" s="17"/>
      <c r="D705" s="21"/>
      <c r="E705" s="21"/>
      <c r="F705" s="17"/>
      <c r="G705" s="17"/>
      <c r="H705" s="93"/>
    </row>
    <row r="706" spans="1:8" x14ac:dyDescent="0.35">
      <c r="A706" s="21"/>
      <c r="B706" s="21"/>
      <c r="C706" s="17"/>
      <c r="D706" s="21"/>
      <c r="E706" s="21"/>
      <c r="F706" s="17"/>
      <c r="G706" s="17"/>
      <c r="H706" s="93"/>
    </row>
    <row r="707" spans="1:8" x14ac:dyDescent="0.35">
      <c r="A707" s="21"/>
      <c r="B707" s="21"/>
      <c r="C707" s="17"/>
      <c r="D707" s="21"/>
      <c r="E707" s="21"/>
      <c r="F707" s="17"/>
      <c r="G707" s="17"/>
      <c r="H707" s="93"/>
    </row>
    <row r="708" spans="1:8" x14ac:dyDescent="0.35">
      <c r="A708" s="21"/>
      <c r="B708" s="21"/>
      <c r="C708" s="17"/>
      <c r="D708" s="21"/>
      <c r="E708" s="21"/>
      <c r="F708" s="17"/>
      <c r="G708" s="17"/>
      <c r="H708" s="93"/>
    </row>
    <row r="709" spans="1:8" x14ac:dyDescent="0.35">
      <c r="A709" s="21"/>
      <c r="B709" s="21"/>
      <c r="C709" s="17"/>
      <c r="D709" s="21"/>
      <c r="E709" s="21"/>
      <c r="F709" s="17"/>
      <c r="G709" s="17"/>
      <c r="H709" s="93"/>
    </row>
    <row r="710" spans="1:8" x14ac:dyDescent="0.35">
      <c r="A710" s="21"/>
      <c r="B710" s="21"/>
      <c r="C710" s="17"/>
      <c r="D710" s="21"/>
      <c r="E710" s="21"/>
      <c r="F710" s="17"/>
      <c r="G710" s="17"/>
      <c r="H710" s="93"/>
    </row>
    <row r="711" spans="1:8" x14ac:dyDescent="0.35">
      <c r="A711" s="21"/>
      <c r="B711" s="21"/>
      <c r="C711" s="17"/>
      <c r="D711" s="21"/>
      <c r="E711" s="21"/>
      <c r="F711" s="17"/>
      <c r="G711" s="17"/>
      <c r="H711" s="93"/>
    </row>
    <row r="712" spans="1:8" x14ac:dyDescent="0.35">
      <c r="A712" s="21"/>
      <c r="B712" s="21"/>
      <c r="C712" s="17"/>
      <c r="D712" s="21"/>
      <c r="E712" s="21"/>
      <c r="F712" s="17"/>
      <c r="G712" s="17"/>
      <c r="H712" s="93"/>
    </row>
    <row r="713" spans="1:8" x14ac:dyDescent="0.35">
      <c r="A713" s="21"/>
      <c r="B713" s="21"/>
      <c r="C713" s="17"/>
      <c r="D713" s="21"/>
      <c r="E713" s="21"/>
      <c r="F713" s="17"/>
      <c r="G713" s="17"/>
      <c r="H713" s="93"/>
    </row>
    <row r="714" spans="1:8" x14ac:dyDescent="0.35">
      <c r="A714" s="21"/>
      <c r="B714" s="21"/>
      <c r="C714" s="17"/>
      <c r="D714" s="21"/>
      <c r="E714" s="21"/>
      <c r="F714" s="17"/>
      <c r="G714" s="17"/>
      <c r="H714" s="93"/>
    </row>
    <row r="715" spans="1:8" x14ac:dyDescent="0.35">
      <c r="A715" s="21"/>
      <c r="B715" s="21"/>
      <c r="C715" s="17"/>
      <c r="D715" s="21"/>
      <c r="E715" s="21"/>
      <c r="F715" s="17"/>
      <c r="G715" s="17"/>
      <c r="H715" s="93"/>
    </row>
    <row r="716" spans="1:8" x14ac:dyDescent="0.35">
      <c r="A716" s="21"/>
      <c r="B716" s="21"/>
      <c r="C716" s="17"/>
      <c r="D716" s="21"/>
      <c r="E716" s="21"/>
      <c r="F716" s="17"/>
      <c r="G716" s="17"/>
      <c r="H716" s="93"/>
    </row>
    <row r="717" spans="1:8" x14ac:dyDescent="0.35">
      <c r="A717" s="21"/>
      <c r="B717" s="21"/>
      <c r="C717" s="17"/>
      <c r="D717" s="21"/>
      <c r="E717" s="21"/>
      <c r="F717" s="17"/>
      <c r="G717" s="17"/>
      <c r="H717" s="93"/>
    </row>
    <row r="718" spans="1:8" x14ac:dyDescent="0.35">
      <c r="A718" s="21"/>
      <c r="B718" s="21"/>
      <c r="C718" s="17"/>
      <c r="D718" s="21"/>
      <c r="E718" s="21"/>
      <c r="F718" s="17"/>
      <c r="G718" s="17"/>
      <c r="H718" s="93"/>
    </row>
    <row r="719" spans="1:8" x14ac:dyDescent="0.35">
      <c r="A719" s="21"/>
      <c r="B719" s="21"/>
      <c r="C719" s="17"/>
      <c r="D719" s="21"/>
      <c r="E719" s="21"/>
      <c r="F719" s="17"/>
      <c r="G719" s="17"/>
      <c r="H719" s="93"/>
    </row>
    <row r="720" spans="1:8" x14ac:dyDescent="0.35">
      <c r="A720" s="21"/>
      <c r="B720" s="21"/>
      <c r="C720" s="17"/>
      <c r="D720" s="21"/>
      <c r="E720" s="21"/>
      <c r="F720" s="17"/>
      <c r="G720" s="17"/>
      <c r="H720" s="93"/>
    </row>
    <row r="721" spans="1:8" x14ac:dyDescent="0.35">
      <c r="A721" s="21"/>
      <c r="B721" s="21"/>
      <c r="C721" s="17"/>
      <c r="D721" s="21"/>
      <c r="E721" s="21"/>
      <c r="F721" s="17"/>
      <c r="G721" s="17"/>
      <c r="H721" s="93"/>
    </row>
    <row r="722" spans="1:8" x14ac:dyDescent="0.35">
      <c r="A722" s="21"/>
      <c r="B722" s="21"/>
      <c r="C722" s="17"/>
      <c r="D722" s="21"/>
      <c r="E722" s="21"/>
      <c r="F722" s="17"/>
      <c r="G722" s="17"/>
      <c r="H722" s="93"/>
    </row>
    <row r="723" spans="1:8" x14ac:dyDescent="0.35">
      <c r="A723" s="21"/>
      <c r="B723" s="21"/>
      <c r="C723" s="17"/>
      <c r="D723" s="21"/>
      <c r="E723" s="21"/>
      <c r="F723" s="17"/>
      <c r="G723" s="17"/>
      <c r="H723" s="93"/>
    </row>
    <row r="724" spans="1:8" x14ac:dyDescent="0.35">
      <c r="A724" s="21"/>
      <c r="B724" s="21"/>
      <c r="C724" s="17"/>
      <c r="D724" s="21"/>
      <c r="E724" s="21"/>
      <c r="F724" s="17"/>
      <c r="G724" s="17"/>
      <c r="H724" s="93"/>
    </row>
    <row r="725" spans="1:8" x14ac:dyDescent="0.35">
      <c r="A725" s="21"/>
      <c r="B725" s="21"/>
      <c r="C725" s="17"/>
      <c r="D725" s="21"/>
      <c r="E725" s="21"/>
      <c r="F725" s="17"/>
      <c r="G725" s="17"/>
      <c r="H725" s="93"/>
    </row>
    <row r="726" spans="1:8" x14ac:dyDescent="0.35">
      <c r="A726" s="21"/>
      <c r="B726" s="21"/>
      <c r="C726" s="17"/>
      <c r="D726" s="21"/>
      <c r="E726" s="21"/>
      <c r="F726" s="17"/>
      <c r="G726" s="17"/>
      <c r="H726" s="93"/>
    </row>
    <row r="727" spans="1:8" x14ac:dyDescent="0.35">
      <c r="A727" s="21"/>
      <c r="B727" s="21"/>
      <c r="C727" s="17"/>
      <c r="D727" s="21"/>
      <c r="E727" s="21"/>
      <c r="F727" s="17"/>
      <c r="G727" s="17"/>
      <c r="H727" s="93"/>
    </row>
    <row r="728" spans="1:8" x14ac:dyDescent="0.35">
      <c r="A728" s="21"/>
      <c r="B728" s="21"/>
      <c r="C728" s="17"/>
      <c r="D728" s="21"/>
      <c r="E728" s="21"/>
      <c r="F728" s="17"/>
      <c r="G728" s="17"/>
      <c r="H728" s="93"/>
    </row>
    <row r="729" spans="1:8" x14ac:dyDescent="0.35">
      <c r="A729" s="21"/>
      <c r="B729" s="21"/>
      <c r="C729" s="17"/>
      <c r="D729" s="21"/>
      <c r="E729" s="21"/>
      <c r="F729" s="17"/>
      <c r="G729" s="17"/>
      <c r="H729" s="93"/>
    </row>
    <row r="730" spans="1:8" x14ac:dyDescent="0.35">
      <c r="A730" s="21"/>
      <c r="B730" s="21"/>
      <c r="C730" s="17"/>
      <c r="D730" s="21"/>
      <c r="E730" s="21"/>
      <c r="F730" s="17"/>
      <c r="G730" s="17"/>
      <c r="H730" s="93"/>
    </row>
    <row r="731" spans="1:8" x14ac:dyDescent="0.35">
      <c r="A731" s="21"/>
      <c r="B731" s="21"/>
      <c r="C731" s="17"/>
      <c r="D731" s="21"/>
      <c r="E731" s="21"/>
      <c r="F731" s="17"/>
      <c r="G731" s="17"/>
      <c r="H731" s="93"/>
    </row>
    <row r="732" spans="1:8" x14ac:dyDescent="0.35">
      <c r="A732" s="21"/>
      <c r="B732" s="21"/>
      <c r="C732" s="17"/>
      <c r="D732" s="21"/>
      <c r="E732" s="21"/>
      <c r="F732" s="17"/>
      <c r="G732" s="17"/>
      <c r="H732" s="93"/>
    </row>
    <row r="733" spans="1:8" x14ac:dyDescent="0.35">
      <c r="A733" s="21"/>
      <c r="B733" s="21"/>
      <c r="C733" s="17"/>
      <c r="D733" s="21"/>
      <c r="E733" s="21"/>
      <c r="F733" s="17"/>
      <c r="G733" s="17"/>
      <c r="H733" s="93"/>
    </row>
    <row r="734" spans="1:8" x14ac:dyDescent="0.35">
      <c r="A734" s="21"/>
      <c r="B734" s="21"/>
      <c r="C734" s="17"/>
      <c r="D734" s="21"/>
      <c r="E734" s="21"/>
      <c r="F734" s="17"/>
      <c r="G734" s="17"/>
      <c r="H734" s="93"/>
    </row>
    <row r="735" spans="1:8" x14ac:dyDescent="0.35">
      <c r="A735" s="21"/>
      <c r="B735" s="21"/>
      <c r="C735" s="17"/>
      <c r="D735" s="21"/>
      <c r="E735" s="21"/>
      <c r="F735" s="17"/>
      <c r="G735" s="17"/>
      <c r="H735" s="93"/>
    </row>
    <row r="736" spans="1:8" x14ac:dyDescent="0.35">
      <c r="A736" s="21"/>
      <c r="B736" s="21"/>
      <c r="C736" s="17"/>
      <c r="D736" s="21"/>
      <c r="E736" s="21"/>
      <c r="F736" s="17"/>
      <c r="G736" s="17"/>
      <c r="H736" s="93"/>
    </row>
    <row r="737" spans="1:8" x14ac:dyDescent="0.35">
      <c r="A737" s="21"/>
      <c r="B737" s="21"/>
      <c r="C737" s="17"/>
      <c r="D737" s="21"/>
      <c r="E737" s="21"/>
      <c r="F737" s="17"/>
      <c r="G737" s="17"/>
      <c r="H737" s="93"/>
    </row>
    <row r="738" spans="1:8" x14ac:dyDescent="0.35">
      <c r="A738" s="21"/>
      <c r="B738" s="21"/>
      <c r="C738" s="17"/>
      <c r="D738" s="21"/>
      <c r="E738" s="21"/>
      <c r="F738" s="17"/>
      <c r="G738" s="17"/>
      <c r="H738" s="93"/>
    </row>
    <row r="739" spans="1:8" x14ac:dyDescent="0.35">
      <c r="A739" s="21"/>
      <c r="B739" s="21"/>
      <c r="C739" s="17"/>
      <c r="D739" s="21"/>
      <c r="E739" s="21"/>
      <c r="F739" s="17"/>
      <c r="G739" s="17"/>
      <c r="H739" s="93"/>
    </row>
    <row r="740" spans="1:8" x14ac:dyDescent="0.35">
      <c r="A740" s="21"/>
      <c r="B740" s="21"/>
      <c r="C740" s="17"/>
      <c r="D740" s="21"/>
      <c r="E740" s="21"/>
      <c r="F740" s="17"/>
      <c r="G740" s="17"/>
      <c r="H740" s="93"/>
    </row>
    <row r="741" spans="1:8" x14ac:dyDescent="0.35">
      <c r="A741" s="21"/>
      <c r="B741" s="21"/>
      <c r="C741" s="17"/>
      <c r="D741" s="21"/>
      <c r="E741" s="21"/>
      <c r="F741" s="17"/>
      <c r="G741" s="17"/>
      <c r="H741" s="93"/>
    </row>
    <row r="742" spans="1:8" x14ac:dyDescent="0.35">
      <c r="A742" s="21"/>
      <c r="B742" s="21"/>
      <c r="C742" s="17"/>
      <c r="D742" s="21"/>
      <c r="E742" s="21"/>
      <c r="F742" s="17"/>
      <c r="G742" s="17"/>
      <c r="H742" s="93"/>
    </row>
    <row r="743" spans="1:8" x14ac:dyDescent="0.35">
      <c r="A743" s="21"/>
      <c r="B743" s="21"/>
      <c r="C743" s="17"/>
      <c r="D743" s="21"/>
      <c r="E743" s="21"/>
      <c r="F743" s="17"/>
      <c r="G743" s="17"/>
      <c r="H743" s="93"/>
    </row>
    <row r="744" spans="1:8" x14ac:dyDescent="0.35">
      <c r="A744" s="21"/>
      <c r="B744" s="21"/>
      <c r="C744" s="17"/>
      <c r="D744" s="21"/>
      <c r="E744" s="21"/>
      <c r="F744" s="17"/>
      <c r="G744" s="17"/>
      <c r="H744" s="93"/>
    </row>
    <row r="745" spans="1:8" x14ac:dyDescent="0.35">
      <c r="A745" s="21"/>
      <c r="B745" s="21"/>
      <c r="C745" s="17"/>
      <c r="D745" s="21"/>
      <c r="E745" s="21"/>
      <c r="F745" s="17"/>
      <c r="G745" s="17"/>
      <c r="H745" s="93"/>
    </row>
    <row r="746" spans="1:8" x14ac:dyDescent="0.35">
      <c r="A746" s="21"/>
      <c r="B746" s="21"/>
      <c r="C746" s="17"/>
      <c r="D746" s="21"/>
      <c r="E746" s="21"/>
      <c r="F746" s="17"/>
      <c r="G746" s="17"/>
      <c r="H746" s="93"/>
    </row>
    <row r="747" spans="1:8" x14ac:dyDescent="0.35">
      <c r="A747" s="21"/>
      <c r="B747" s="21"/>
      <c r="C747" s="17"/>
      <c r="D747" s="21"/>
      <c r="E747" s="21"/>
      <c r="F747" s="17"/>
      <c r="G747" s="17"/>
      <c r="H747" s="93"/>
    </row>
    <row r="748" spans="1:8" x14ac:dyDescent="0.35">
      <c r="A748" s="21"/>
      <c r="B748" s="21"/>
      <c r="C748" s="17"/>
      <c r="D748" s="21"/>
      <c r="E748" s="21"/>
      <c r="F748" s="17"/>
      <c r="G748" s="17"/>
      <c r="H748" s="93"/>
    </row>
    <row r="749" spans="1:8" x14ac:dyDescent="0.35">
      <c r="A749" s="21"/>
      <c r="B749" s="21"/>
      <c r="C749" s="17"/>
      <c r="D749" s="21"/>
      <c r="E749" s="21"/>
      <c r="F749" s="17"/>
      <c r="G749" s="17"/>
      <c r="H749" s="93"/>
    </row>
    <row r="750" spans="1:8" x14ac:dyDescent="0.35">
      <c r="A750" s="21"/>
      <c r="B750" s="21"/>
      <c r="C750" s="17"/>
      <c r="D750" s="21"/>
      <c r="E750" s="21"/>
      <c r="F750" s="17"/>
      <c r="G750" s="17"/>
      <c r="H750" s="93"/>
    </row>
    <row r="751" spans="1:8" x14ac:dyDescent="0.35">
      <c r="A751" s="21"/>
      <c r="B751" s="21"/>
      <c r="C751" s="17"/>
      <c r="D751" s="21"/>
      <c r="E751" s="21"/>
      <c r="F751" s="17"/>
      <c r="G751" s="17"/>
      <c r="H751" s="93"/>
    </row>
    <row r="752" spans="1:8" x14ac:dyDescent="0.35">
      <c r="A752" s="21"/>
      <c r="B752" s="21"/>
      <c r="C752" s="17"/>
      <c r="D752" s="21"/>
      <c r="E752" s="21"/>
      <c r="F752" s="17"/>
      <c r="G752" s="17"/>
      <c r="H752" s="93"/>
    </row>
    <row r="753" spans="1:8" x14ac:dyDescent="0.35">
      <c r="A753" s="21"/>
      <c r="B753" s="21"/>
      <c r="C753" s="17"/>
      <c r="D753" s="21"/>
      <c r="E753" s="21"/>
      <c r="F753" s="17"/>
      <c r="G753" s="17"/>
      <c r="H753" s="93"/>
    </row>
    <row r="754" spans="1:8" x14ac:dyDescent="0.35">
      <c r="A754" s="21"/>
      <c r="B754" s="21"/>
      <c r="C754" s="17"/>
      <c r="D754" s="21"/>
      <c r="E754" s="21"/>
      <c r="F754" s="17"/>
      <c r="G754" s="17"/>
      <c r="H754" s="93"/>
    </row>
    <row r="755" spans="1:8" x14ac:dyDescent="0.35">
      <c r="A755" s="21"/>
      <c r="B755" s="21"/>
      <c r="C755" s="17"/>
      <c r="D755" s="21"/>
      <c r="E755" s="21"/>
      <c r="F755" s="17"/>
      <c r="G755" s="17"/>
      <c r="H755" s="93"/>
    </row>
    <row r="756" spans="1:8" x14ac:dyDescent="0.35">
      <c r="A756" s="21"/>
      <c r="B756" s="21"/>
      <c r="C756" s="17"/>
      <c r="D756" s="21"/>
      <c r="E756" s="21"/>
      <c r="F756" s="17"/>
      <c r="G756" s="17"/>
      <c r="H756" s="93"/>
    </row>
    <row r="757" spans="1:8" x14ac:dyDescent="0.35">
      <c r="A757" s="21"/>
      <c r="B757" s="21"/>
      <c r="C757" s="17"/>
      <c r="D757" s="21"/>
      <c r="E757" s="21"/>
      <c r="F757" s="17"/>
      <c r="G757" s="17"/>
      <c r="H757" s="93"/>
    </row>
    <row r="758" spans="1:8" x14ac:dyDescent="0.35">
      <c r="A758" s="21"/>
      <c r="B758" s="21"/>
      <c r="C758" s="17"/>
      <c r="D758" s="21"/>
      <c r="E758" s="21"/>
      <c r="F758" s="17"/>
      <c r="G758" s="17"/>
      <c r="H758" s="93"/>
    </row>
    <row r="759" spans="1:8" x14ac:dyDescent="0.35">
      <c r="A759" s="21"/>
      <c r="B759" s="21"/>
      <c r="C759" s="17"/>
      <c r="D759" s="21"/>
      <c r="E759" s="21"/>
      <c r="F759" s="17"/>
      <c r="G759" s="17"/>
      <c r="H759" s="93"/>
    </row>
    <row r="760" spans="1:8" x14ac:dyDescent="0.35">
      <c r="A760" s="21"/>
      <c r="B760" s="21"/>
      <c r="C760" s="17"/>
      <c r="D760" s="21"/>
      <c r="E760" s="21"/>
      <c r="F760" s="17"/>
      <c r="G760" s="17"/>
      <c r="H760" s="93"/>
    </row>
    <row r="761" spans="1:8" x14ac:dyDescent="0.35">
      <c r="A761" s="21"/>
      <c r="B761" s="21"/>
      <c r="C761" s="17"/>
      <c r="D761" s="21"/>
      <c r="E761" s="21"/>
      <c r="F761" s="17"/>
      <c r="G761" s="17"/>
      <c r="H761" s="93"/>
    </row>
    <row r="762" spans="1:8" x14ac:dyDescent="0.35">
      <c r="A762" s="21"/>
      <c r="B762" s="21"/>
      <c r="C762" s="17"/>
      <c r="D762" s="21"/>
      <c r="E762" s="21"/>
      <c r="F762" s="17"/>
      <c r="G762" s="17"/>
      <c r="H762" s="93"/>
    </row>
    <row r="763" spans="1:8" x14ac:dyDescent="0.35">
      <c r="A763" s="21"/>
      <c r="B763" s="21"/>
      <c r="C763" s="17"/>
      <c r="D763" s="21"/>
      <c r="E763" s="21"/>
      <c r="F763" s="17"/>
      <c r="G763" s="17"/>
      <c r="H763" s="93"/>
    </row>
    <row r="764" spans="1:8" x14ac:dyDescent="0.35">
      <c r="A764" s="21"/>
      <c r="B764" s="21"/>
      <c r="C764" s="17"/>
      <c r="D764" s="21"/>
      <c r="E764" s="21"/>
      <c r="F764" s="17"/>
      <c r="G764" s="17"/>
      <c r="H764" s="93"/>
    </row>
    <row r="765" spans="1:8" x14ac:dyDescent="0.35">
      <c r="A765" s="21"/>
      <c r="B765" s="21"/>
      <c r="C765" s="17"/>
      <c r="D765" s="21"/>
      <c r="E765" s="21"/>
      <c r="F765" s="17"/>
      <c r="G765" s="17"/>
      <c r="H765" s="93"/>
    </row>
    <row r="766" spans="1:8" x14ac:dyDescent="0.35">
      <c r="A766" s="21"/>
      <c r="B766" s="21"/>
      <c r="C766" s="17"/>
      <c r="D766" s="21"/>
      <c r="E766" s="21"/>
      <c r="F766" s="17"/>
      <c r="G766" s="17"/>
      <c r="H766" s="93"/>
    </row>
    <row r="767" spans="1:8" x14ac:dyDescent="0.35">
      <c r="A767" s="21"/>
      <c r="B767" s="21"/>
      <c r="C767" s="17"/>
      <c r="D767" s="21"/>
      <c r="E767" s="21"/>
      <c r="F767" s="17"/>
      <c r="G767" s="17"/>
      <c r="H767" s="93"/>
    </row>
    <row r="768" spans="1:8" x14ac:dyDescent="0.35">
      <c r="A768" s="21"/>
      <c r="B768" s="21"/>
      <c r="C768" s="17"/>
      <c r="D768" s="21"/>
      <c r="E768" s="21"/>
      <c r="F768" s="17"/>
      <c r="G768" s="17"/>
      <c r="H768" s="93"/>
    </row>
    <row r="769" spans="1:8" x14ac:dyDescent="0.35">
      <c r="A769" s="21"/>
      <c r="B769" s="21"/>
      <c r="C769" s="17"/>
      <c r="D769" s="21"/>
      <c r="E769" s="21"/>
      <c r="F769" s="17"/>
      <c r="G769" s="17"/>
      <c r="H769" s="93"/>
    </row>
    <row r="770" spans="1:8" x14ac:dyDescent="0.35">
      <c r="A770" s="21"/>
      <c r="B770" s="21"/>
      <c r="C770" s="17"/>
      <c r="D770" s="21"/>
      <c r="E770" s="21"/>
      <c r="F770" s="17"/>
      <c r="G770" s="17"/>
      <c r="H770" s="93"/>
    </row>
    <row r="771" spans="1:8" x14ac:dyDescent="0.35">
      <c r="A771" s="21"/>
      <c r="B771" s="21"/>
      <c r="C771" s="17"/>
      <c r="D771" s="21"/>
      <c r="E771" s="21"/>
      <c r="F771" s="17"/>
      <c r="G771" s="17"/>
      <c r="H771" s="93"/>
    </row>
    <row r="772" spans="1:8" x14ac:dyDescent="0.35">
      <c r="A772" s="21"/>
      <c r="B772" s="21"/>
      <c r="C772" s="17"/>
      <c r="D772" s="21"/>
      <c r="E772" s="21"/>
      <c r="F772" s="17"/>
      <c r="G772" s="17"/>
      <c r="H772" s="93"/>
    </row>
    <row r="773" spans="1:8" x14ac:dyDescent="0.35">
      <c r="A773" s="21"/>
      <c r="B773" s="21"/>
      <c r="C773" s="17"/>
      <c r="D773" s="21"/>
      <c r="E773" s="21"/>
      <c r="F773" s="17"/>
      <c r="G773" s="17"/>
      <c r="H773" s="93"/>
    </row>
    <row r="774" spans="1:8" x14ac:dyDescent="0.35">
      <c r="A774" s="21"/>
      <c r="B774" s="21"/>
      <c r="C774" s="17"/>
      <c r="D774" s="21"/>
      <c r="E774" s="21"/>
      <c r="F774" s="17"/>
      <c r="G774" s="17"/>
      <c r="H774" s="93"/>
    </row>
    <row r="775" spans="1:8" x14ac:dyDescent="0.35">
      <c r="A775" s="21"/>
      <c r="B775" s="21"/>
      <c r="C775" s="17"/>
      <c r="D775" s="21"/>
      <c r="E775" s="21"/>
      <c r="F775" s="17"/>
      <c r="G775" s="17"/>
      <c r="H775" s="93"/>
    </row>
    <row r="776" spans="1:8" x14ac:dyDescent="0.35">
      <c r="A776" s="21"/>
      <c r="B776" s="21"/>
      <c r="C776" s="17"/>
      <c r="D776" s="21"/>
      <c r="E776" s="21"/>
      <c r="F776" s="17"/>
      <c r="G776" s="17"/>
      <c r="H776" s="93"/>
    </row>
    <row r="777" spans="1:8" x14ac:dyDescent="0.35">
      <c r="A777" s="21"/>
      <c r="B777" s="21"/>
      <c r="C777" s="17"/>
      <c r="D777" s="21"/>
      <c r="E777" s="21"/>
      <c r="F777" s="17"/>
      <c r="G777" s="17"/>
      <c r="H777" s="93"/>
    </row>
    <row r="778" spans="1:8" x14ac:dyDescent="0.35">
      <c r="A778" s="21"/>
      <c r="B778" s="21"/>
      <c r="C778" s="17"/>
      <c r="D778" s="21"/>
      <c r="E778" s="21"/>
      <c r="F778" s="17"/>
      <c r="G778" s="17"/>
      <c r="H778" s="93"/>
    </row>
    <row r="779" spans="1:8" x14ac:dyDescent="0.35">
      <c r="A779" s="21"/>
      <c r="B779" s="21"/>
      <c r="C779" s="17"/>
      <c r="D779" s="21"/>
      <c r="E779" s="21"/>
      <c r="F779" s="17"/>
      <c r="G779" s="17"/>
      <c r="H779" s="93"/>
    </row>
    <row r="780" spans="1:8" x14ac:dyDescent="0.35">
      <c r="A780" s="21"/>
      <c r="B780" s="21"/>
      <c r="C780" s="17"/>
      <c r="D780" s="21"/>
      <c r="E780" s="21"/>
      <c r="F780" s="17"/>
      <c r="G780" s="17"/>
      <c r="H780" s="93"/>
    </row>
    <row r="781" spans="1:8" x14ac:dyDescent="0.35">
      <c r="A781" s="21"/>
      <c r="B781" s="21"/>
      <c r="C781" s="17"/>
      <c r="D781" s="21"/>
      <c r="E781" s="21"/>
      <c r="F781" s="17"/>
      <c r="G781" s="17"/>
      <c r="H781" s="93"/>
    </row>
    <row r="782" spans="1:8" x14ac:dyDescent="0.35">
      <c r="A782" s="21"/>
      <c r="B782" s="21"/>
      <c r="C782" s="17"/>
      <c r="D782" s="21"/>
      <c r="E782" s="21"/>
      <c r="F782" s="17"/>
      <c r="G782" s="17"/>
      <c r="H782" s="93"/>
    </row>
    <row r="783" spans="1:8" x14ac:dyDescent="0.35">
      <c r="A783" s="21"/>
      <c r="B783" s="21"/>
      <c r="C783" s="17"/>
      <c r="D783" s="21"/>
      <c r="E783" s="21"/>
      <c r="F783" s="17"/>
      <c r="G783" s="17"/>
      <c r="H783" s="93"/>
    </row>
    <row r="784" spans="1:8" x14ac:dyDescent="0.35">
      <c r="A784" s="21"/>
      <c r="B784" s="21"/>
      <c r="C784" s="17"/>
      <c r="D784" s="21"/>
      <c r="E784" s="21"/>
      <c r="F784" s="17"/>
      <c r="G784" s="17"/>
      <c r="H784" s="93"/>
    </row>
    <row r="785" spans="1:8" x14ac:dyDescent="0.35">
      <c r="A785" s="21"/>
      <c r="B785" s="21"/>
      <c r="C785" s="17"/>
      <c r="D785" s="21"/>
      <c r="E785" s="21"/>
      <c r="F785" s="17"/>
      <c r="G785" s="17"/>
      <c r="H785" s="93"/>
    </row>
    <row r="786" spans="1:8" x14ac:dyDescent="0.35">
      <c r="A786" s="21"/>
      <c r="B786" s="21"/>
      <c r="C786" s="17"/>
      <c r="D786" s="21"/>
      <c r="E786" s="21"/>
      <c r="F786" s="17"/>
      <c r="G786" s="17"/>
      <c r="H786" s="93"/>
    </row>
    <row r="787" spans="1:8" x14ac:dyDescent="0.35">
      <c r="A787" s="21"/>
      <c r="B787" s="21"/>
      <c r="C787" s="17"/>
      <c r="D787" s="21"/>
      <c r="E787" s="21"/>
      <c r="F787" s="17"/>
      <c r="G787" s="17"/>
      <c r="H787" s="93"/>
    </row>
    <row r="788" spans="1:8" x14ac:dyDescent="0.35">
      <c r="A788" s="21"/>
      <c r="B788" s="21"/>
      <c r="C788" s="17"/>
      <c r="D788" s="21"/>
      <c r="E788" s="21"/>
      <c r="F788" s="17"/>
      <c r="G788" s="17"/>
      <c r="H788" s="93"/>
    </row>
    <row r="789" spans="1:8" x14ac:dyDescent="0.35">
      <c r="A789" s="21"/>
      <c r="B789" s="21"/>
      <c r="C789" s="17"/>
      <c r="D789" s="21"/>
      <c r="E789" s="21"/>
      <c r="F789" s="17"/>
      <c r="G789" s="17"/>
      <c r="H789" s="93"/>
    </row>
    <row r="790" spans="1:8" x14ac:dyDescent="0.35">
      <c r="A790" s="21"/>
      <c r="B790" s="21"/>
      <c r="C790" s="17"/>
      <c r="D790" s="21"/>
      <c r="E790" s="21"/>
      <c r="F790" s="17"/>
      <c r="G790" s="17"/>
      <c r="H790" s="93"/>
    </row>
    <row r="791" spans="1:8" x14ac:dyDescent="0.35">
      <c r="A791" s="21"/>
      <c r="B791" s="21"/>
      <c r="C791" s="17"/>
      <c r="D791" s="21"/>
      <c r="E791" s="21"/>
      <c r="F791" s="17"/>
      <c r="G791" s="17"/>
      <c r="H791" s="93"/>
    </row>
    <row r="792" spans="1:8" x14ac:dyDescent="0.35">
      <c r="A792" s="21"/>
      <c r="B792" s="21"/>
      <c r="C792" s="17"/>
      <c r="D792" s="21"/>
      <c r="E792" s="21"/>
      <c r="F792" s="17"/>
      <c r="G792" s="17"/>
      <c r="H792" s="93"/>
    </row>
    <row r="793" spans="1:8" x14ac:dyDescent="0.35">
      <c r="A793" s="21"/>
      <c r="B793" s="21"/>
      <c r="C793" s="17"/>
      <c r="D793" s="21"/>
      <c r="E793" s="21"/>
      <c r="F793" s="17"/>
      <c r="G793" s="17"/>
      <c r="H793" s="93"/>
    </row>
    <row r="794" spans="1:8" x14ac:dyDescent="0.35">
      <c r="A794" s="21"/>
      <c r="B794" s="21"/>
      <c r="C794" s="17"/>
      <c r="D794" s="21"/>
      <c r="E794" s="21"/>
      <c r="F794" s="17"/>
      <c r="G794" s="17"/>
      <c r="H794" s="93"/>
    </row>
    <row r="795" spans="1:8" x14ac:dyDescent="0.35">
      <c r="A795" s="21"/>
      <c r="B795" s="21"/>
      <c r="C795" s="17"/>
      <c r="D795" s="21"/>
      <c r="E795" s="21"/>
      <c r="F795" s="17"/>
      <c r="G795" s="17"/>
      <c r="H795" s="93"/>
    </row>
    <row r="796" spans="1:8" x14ac:dyDescent="0.35">
      <c r="A796" s="21"/>
      <c r="B796" s="21"/>
      <c r="C796" s="17"/>
      <c r="D796" s="21"/>
      <c r="E796" s="21"/>
      <c r="F796" s="17"/>
      <c r="G796" s="17"/>
      <c r="H796" s="93"/>
    </row>
    <row r="797" spans="1:8" x14ac:dyDescent="0.35">
      <c r="A797" s="21"/>
      <c r="B797" s="21"/>
      <c r="C797" s="17"/>
      <c r="D797" s="21"/>
      <c r="E797" s="21"/>
      <c r="F797" s="17"/>
      <c r="G797" s="17"/>
      <c r="H797" s="93"/>
    </row>
    <row r="798" spans="1:8" x14ac:dyDescent="0.35">
      <c r="A798" s="21"/>
      <c r="B798" s="21"/>
      <c r="C798" s="17"/>
      <c r="D798" s="21"/>
      <c r="E798" s="21"/>
      <c r="F798" s="17"/>
      <c r="G798" s="17"/>
      <c r="H798" s="93"/>
    </row>
    <row r="799" spans="1:8" x14ac:dyDescent="0.35">
      <c r="A799" s="21"/>
      <c r="B799" s="21"/>
      <c r="C799" s="17"/>
      <c r="D799" s="21"/>
      <c r="E799" s="21"/>
      <c r="F799" s="17"/>
      <c r="G799" s="17"/>
      <c r="H799" s="93"/>
    </row>
    <row r="800" spans="1:8" x14ac:dyDescent="0.35">
      <c r="A800" s="21"/>
      <c r="B800" s="21"/>
      <c r="C800" s="17"/>
      <c r="D800" s="21"/>
      <c r="E800" s="21"/>
      <c r="F800" s="17"/>
      <c r="G800" s="17"/>
      <c r="H800" s="93"/>
    </row>
    <row r="801" spans="1:8" x14ac:dyDescent="0.35">
      <c r="A801" s="21"/>
      <c r="B801" s="21"/>
      <c r="C801" s="17"/>
      <c r="D801" s="21"/>
      <c r="E801" s="21"/>
      <c r="F801" s="17"/>
      <c r="G801" s="17"/>
      <c r="H801" s="93"/>
    </row>
    <row r="802" spans="1:8" x14ac:dyDescent="0.35">
      <c r="A802" s="21"/>
      <c r="B802" s="21"/>
      <c r="C802" s="17"/>
      <c r="D802" s="21"/>
      <c r="E802" s="21"/>
      <c r="F802" s="17"/>
      <c r="G802" s="17"/>
      <c r="H802" s="93"/>
    </row>
    <row r="803" spans="1:8" x14ac:dyDescent="0.35">
      <c r="A803" s="21"/>
      <c r="B803" s="21"/>
      <c r="C803" s="17"/>
      <c r="D803" s="21"/>
      <c r="E803" s="21"/>
      <c r="F803" s="17"/>
      <c r="G803" s="17"/>
      <c r="H803" s="93"/>
    </row>
    <row r="804" spans="1:8" x14ac:dyDescent="0.35">
      <c r="A804" s="21"/>
      <c r="B804" s="21"/>
      <c r="C804" s="17"/>
      <c r="D804" s="21"/>
      <c r="E804" s="21"/>
      <c r="F804" s="17"/>
      <c r="G804" s="17"/>
      <c r="H804" s="93"/>
    </row>
    <row r="805" spans="1:8" x14ac:dyDescent="0.35">
      <c r="A805" s="21"/>
      <c r="B805" s="21"/>
      <c r="C805" s="17"/>
      <c r="D805" s="21"/>
      <c r="E805" s="21"/>
      <c r="F805" s="17"/>
      <c r="G805" s="17"/>
      <c r="H805" s="93"/>
    </row>
    <row r="806" spans="1:8" x14ac:dyDescent="0.35">
      <c r="A806" s="21"/>
      <c r="B806" s="21"/>
      <c r="C806" s="17"/>
      <c r="D806" s="21"/>
      <c r="E806" s="21"/>
      <c r="F806" s="17"/>
      <c r="G806" s="17"/>
      <c r="H806" s="93"/>
    </row>
    <row r="807" spans="1:8" x14ac:dyDescent="0.35">
      <c r="A807" s="21"/>
      <c r="B807" s="21"/>
      <c r="C807" s="17"/>
      <c r="D807" s="21"/>
      <c r="E807" s="21"/>
      <c r="F807" s="17"/>
      <c r="G807" s="17"/>
      <c r="H807" s="93"/>
    </row>
    <row r="808" spans="1:8" x14ac:dyDescent="0.35">
      <c r="A808" s="21"/>
      <c r="B808" s="21"/>
      <c r="C808" s="17"/>
      <c r="D808" s="21"/>
      <c r="E808" s="21"/>
      <c r="F808" s="17"/>
      <c r="G808" s="17"/>
      <c r="H808" s="93"/>
    </row>
    <row r="809" spans="1:8" x14ac:dyDescent="0.35">
      <c r="A809" s="21"/>
      <c r="B809" s="21"/>
      <c r="C809" s="17"/>
      <c r="D809" s="21"/>
      <c r="E809" s="21"/>
      <c r="F809" s="17"/>
      <c r="G809" s="17"/>
      <c r="H809" s="93"/>
    </row>
    <row r="810" spans="1:8" x14ac:dyDescent="0.35">
      <c r="A810" s="21"/>
      <c r="B810" s="21"/>
      <c r="C810" s="17"/>
      <c r="D810" s="21"/>
      <c r="E810" s="21"/>
      <c r="F810" s="17"/>
      <c r="G810" s="17"/>
      <c r="H810" s="93"/>
    </row>
    <row r="811" spans="1:8" x14ac:dyDescent="0.35">
      <c r="A811" s="21"/>
      <c r="B811" s="21"/>
      <c r="C811" s="17"/>
      <c r="D811" s="21"/>
      <c r="E811" s="21"/>
      <c r="F811" s="17"/>
      <c r="G811" s="17"/>
      <c r="H811" s="93"/>
    </row>
    <row r="812" spans="1:8" x14ac:dyDescent="0.35">
      <c r="A812" s="21"/>
      <c r="B812" s="21"/>
      <c r="C812" s="17"/>
      <c r="D812" s="21"/>
      <c r="E812" s="21"/>
      <c r="F812" s="17"/>
      <c r="G812" s="17"/>
      <c r="H812" s="93"/>
    </row>
    <row r="813" spans="1:8" x14ac:dyDescent="0.35">
      <c r="A813" s="21"/>
      <c r="B813" s="21"/>
      <c r="C813" s="17"/>
      <c r="D813" s="21"/>
      <c r="E813" s="21"/>
      <c r="F813" s="17"/>
      <c r="G813" s="17"/>
      <c r="H813" s="93"/>
    </row>
    <row r="814" spans="1:8" x14ac:dyDescent="0.35">
      <c r="A814" s="21"/>
      <c r="B814" s="21"/>
      <c r="C814" s="17"/>
      <c r="D814" s="21"/>
      <c r="E814" s="21"/>
      <c r="F814" s="17"/>
      <c r="G814" s="17"/>
      <c r="H814" s="93"/>
    </row>
    <row r="815" spans="1:8" x14ac:dyDescent="0.35">
      <c r="A815" s="21"/>
      <c r="B815" s="21"/>
      <c r="C815" s="17"/>
      <c r="D815" s="21"/>
      <c r="E815" s="21"/>
      <c r="F815" s="17"/>
      <c r="G815" s="17"/>
      <c r="H815" s="93"/>
    </row>
    <row r="816" spans="1:8" x14ac:dyDescent="0.35">
      <c r="A816" s="21"/>
      <c r="B816" s="21"/>
      <c r="C816" s="17"/>
      <c r="D816" s="21"/>
      <c r="E816" s="21"/>
      <c r="F816" s="17"/>
      <c r="G816" s="17"/>
      <c r="H816" s="93"/>
    </row>
    <row r="817" spans="1:8" x14ac:dyDescent="0.35">
      <c r="A817" s="21"/>
      <c r="B817" s="21"/>
      <c r="C817" s="17"/>
      <c r="D817" s="21"/>
      <c r="E817" s="21"/>
      <c r="F817" s="17"/>
      <c r="G817" s="17"/>
      <c r="H817" s="93"/>
    </row>
    <row r="818" spans="1:8" x14ac:dyDescent="0.35">
      <c r="A818" s="21"/>
      <c r="B818" s="21"/>
      <c r="C818" s="17"/>
      <c r="D818" s="21"/>
      <c r="E818" s="21"/>
      <c r="F818" s="17"/>
      <c r="G818" s="17"/>
      <c r="H818" s="93"/>
    </row>
    <row r="819" spans="1:8" x14ac:dyDescent="0.35">
      <c r="A819" s="21"/>
      <c r="B819" s="21"/>
      <c r="C819" s="17"/>
      <c r="D819" s="21"/>
      <c r="E819" s="21"/>
      <c r="F819" s="17"/>
      <c r="G819" s="17"/>
      <c r="H819" s="93"/>
    </row>
    <row r="820" spans="1:8" x14ac:dyDescent="0.35">
      <c r="A820" s="21"/>
      <c r="B820" s="21"/>
      <c r="C820" s="17"/>
      <c r="D820" s="21"/>
      <c r="E820" s="21"/>
      <c r="F820" s="17"/>
      <c r="G820" s="17"/>
      <c r="H820" s="93"/>
    </row>
    <row r="821" spans="1:8" x14ac:dyDescent="0.35">
      <c r="A821" s="21"/>
      <c r="B821" s="21"/>
      <c r="C821" s="17"/>
      <c r="D821" s="21"/>
      <c r="E821" s="21"/>
      <c r="F821" s="17"/>
      <c r="G821" s="17"/>
      <c r="H821" s="93"/>
    </row>
    <row r="822" spans="1:8" x14ac:dyDescent="0.35">
      <c r="A822" s="21"/>
      <c r="B822" s="21"/>
      <c r="C822" s="17"/>
      <c r="D822" s="21"/>
      <c r="E822" s="21"/>
      <c r="F822" s="17"/>
      <c r="G822" s="17"/>
      <c r="H822" s="93"/>
    </row>
    <row r="823" spans="1:8" x14ac:dyDescent="0.35">
      <c r="A823" s="21"/>
      <c r="B823" s="21"/>
      <c r="C823" s="17"/>
      <c r="D823" s="21"/>
      <c r="E823" s="21"/>
      <c r="F823" s="17"/>
      <c r="G823" s="17"/>
      <c r="H823" s="93"/>
    </row>
    <row r="824" spans="1:8" x14ac:dyDescent="0.35">
      <c r="A824" s="21"/>
      <c r="B824" s="21"/>
      <c r="C824" s="17"/>
      <c r="D824" s="21"/>
      <c r="E824" s="21"/>
      <c r="F824" s="17"/>
      <c r="G824" s="17"/>
      <c r="H824" s="93"/>
    </row>
    <row r="825" spans="1:8" x14ac:dyDescent="0.35">
      <c r="A825" s="21"/>
      <c r="B825" s="21"/>
      <c r="C825" s="17"/>
      <c r="D825" s="21"/>
      <c r="E825" s="21"/>
      <c r="F825" s="17"/>
      <c r="G825" s="17"/>
      <c r="H825" s="93"/>
    </row>
    <row r="826" spans="1:8" x14ac:dyDescent="0.35">
      <c r="A826" s="21"/>
      <c r="B826" s="21"/>
      <c r="C826" s="17"/>
      <c r="D826" s="21"/>
      <c r="E826" s="21"/>
      <c r="F826" s="17"/>
      <c r="G826" s="17"/>
      <c r="H826" s="93"/>
    </row>
    <row r="827" spans="1:8" x14ac:dyDescent="0.35">
      <c r="A827" s="21"/>
      <c r="B827" s="21"/>
      <c r="C827" s="17"/>
      <c r="D827" s="21"/>
      <c r="E827" s="21"/>
      <c r="F827" s="17"/>
      <c r="G827" s="17"/>
      <c r="H827" s="93"/>
    </row>
    <row r="828" spans="1:8" x14ac:dyDescent="0.35">
      <c r="A828" s="21"/>
      <c r="B828" s="21"/>
      <c r="C828" s="17"/>
      <c r="D828" s="21"/>
      <c r="E828" s="21"/>
      <c r="F828" s="17"/>
      <c r="G828" s="17"/>
      <c r="H828" s="93"/>
    </row>
    <row r="829" spans="1:8" x14ac:dyDescent="0.35">
      <c r="A829" s="21"/>
      <c r="B829" s="21"/>
      <c r="C829" s="17"/>
      <c r="D829" s="21"/>
      <c r="E829" s="21"/>
      <c r="F829" s="17"/>
      <c r="G829" s="17"/>
      <c r="H829" s="93"/>
    </row>
    <row r="830" spans="1:8" x14ac:dyDescent="0.35">
      <c r="A830" s="21"/>
      <c r="B830" s="21"/>
      <c r="C830" s="17"/>
      <c r="D830" s="21"/>
      <c r="E830" s="21"/>
      <c r="F830" s="17"/>
      <c r="G830" s="17"/>
      <c r="H830" s="93"/>
    </row>
    <row r="831" spans="1:8" x14ac:dyDescent="0.35">
      <c r="A831" s="21"/>
      <c r="B831" s="21"/>
      <c r="C831" s="17"/>
      <c r="D831" s="21"/>
      <c r="E831" s="21"/>
      <c r="F831" s="17"/>
      <c r="G831" s="17"/>
      <c r="H831" s="93"/>
    </row>
    <row r="832" spans="1:8" x14ac:dyDescent="0.35">
      <c r="A832" s="21"/>
      <c r="B832" s="21"/>
      <c r="C832" s="17"/>
      <c r="D832" s="21"/>
      <c r="E832" s="21"/>
      <c r="F832" s="17"/>
      <c r="G832" s="17"/>
      <c r="H832" s="93"/>
    </row>
    <row r="833" spans="1:8" x14ac:dyDescent="0.35">
      <c r="A833" s="21"/>
      <c r="B833" s="21"/>
      <c r="C833" s="17"/>
      <c r="D833" s="21"/>
      <c r="E833" s="21"/>
      <c r="F833" s="17"/>
      <c r="G833" s="17"/>
      <c r="H833" s="93"/>
    </row>
    <row r="834" spans="1:8" x14ac:dyDescent="0.35">
      <c r="A834" s="21"/>
      <c r="B834" s="21"/>
      <c r="C834" s="17"/>
      <c r="D834" s="21"/>
      <c r="E834" s="21"/>
      <c r="F834" s="17"/>
      <c r="G834" s="17"/>
      <c r="H834" s="93"/>
    </row>
    <row r="835" spans="1:8" x14ac:dyDescent="0.35">
      <c r="A835" s="21"/>
      <c r="B835" s="21"/>
      <c r="C835" s="17"/>
      <c r="D835" s="21"/>
      <c r="E835" s="21"/>
      <c r="F835" s="17"/>
      <c r="G835" s="17"/>
      <c r="H835" s="93"/>
    </row>
    <row r="836" spans="1:8" x14ac:dyDescent="0.35">
      <c r="A836" s="21"/>
      <c r="B836" s="21"/>
      <c r="C836" s="17"/>
      <c r="D836" s="21"/>
      <c r="E836" s="21"/>
      <c r="F836" s="17"/>
      <c r="G836" s="17"/>
      <c r="H836" s="93"/>
    </row>
    <row r="837" spans="1:8" x14ac:dyDescent="0.35">
      <c r="A837" s="21"/>
      <c r="B837" s="21"/>
      <c r="C837" s="17"/>
      <c r="D837" s="21"/>
      <c r="E837" s="21"/>
      <c r="F837" s="17"/>
      <c r="G837" s="17"/>
      <c r="H837" s="93"/>
    </row>
    <row r="838" spans="1:8" x14ac:dyDescent="0.35">
      <c r="A838" s="21"/>
      <c r="B838" s="21"/>
      <c r="C838" s="17"/>
      <c r="D838" s="21"/>
      <c r="E838" s="21"/>
      <c r="F838" s="17"/>
      <c r="G838" s="17"/>
      <c r="H838" s="93"/>
    </row>
    <row r="839" spans="1:8" x14ac:dyDescent="0.35">
      <c r="A839" s="21"/>
      <c r="B839" s="21"/>
      <c r="C839" s="17"/>
      <c r="D839" s="21"/>
      <c r="E839" s="21"/>
      <c r="F839" s="17"/>
      <c r="G839" s="17"/>
      <c r="H839" s="93"/>
    </row>
    <row r="840" spans="1:8" x14ac:dyDescent="0.35">
      <c r="A840" s="21"/>
      <c r="B840" s="21"/>
      <c r="C840" s="17"/>
      <c r="D840" s="21"/>
      <c r="E840" s="21"/>
      <c r="F840" s="17"/>
      <c r="G840" s="17"/>
      <c r="H840" s="93"/>
    </row>
    <row r="841" spans="1:8" x14ac:dyDescent="0.35">
      <c r="A841" s="21"/>
      <c r="B841" s="21"/>
      <c r="C841" s="17"/>
      <c r="D841" s="21"/>
      <c r="E841" s="21"/>
      <c r="F841" s="17"/>
      <c r="G841" s="17"/>
      <c r="H841" s="93"/>
    </row>
    <row r="842" spans="1:8" x14ac:dyDescent="0.35">
      <c r="A842" s="21"/>
      <c r="B842" s="21"/>
      <c r="C842" s="17"/>
      <c r="D842" s="21"/>
      <c r="E842" s="21"/>
      <c r="F842" s="17"/>
      <c r="G842" s="17"/>
      <c r="H842" s="93"/>
    </row>
    <row r="843" spans="1:8" x14ac:dyDescent="0.35">
      <c r="A843" s="21"/>
      <c r="B843" s="21"/>
      <c r="C843" s="17"/>
      <c r="D843" s="21"/>
      <c r="E843" s="21"/>
      <c r="F843" s="17"/>
      <c r="G843" s="17"/>
      <c r="H843" s="93"/>
    </row>
    <row r="844" spans="1:8" x14ac:dyDescent="0.35">
      <c r="A844" s="21"/>
      <c r="B844" s="21"/>
      <c r="C844" s="17"/>
      <c r="D844" s="21"/>
      <c r="E844" s="21"/>
      <c r="F844" s="17"/>
      <c r="G844" s="17"/>
      <c r="H844" s="93"/>
    </row>
    <row r="845" spans="1:8" x14ac:dyDescent="0.35">
      <c r="A845" s="21"/>
      <c r="B845" s="21"/>
      <c r="C845" s="17"/>
      <c r="D845" s="21"/>
      <c r="E845" s="21"/>
      <c r="F845" s="17"/>
      <c r="G845" s="17"/>
      <c r="H845" s="93"/>
    </row>
    <row r="846" spans="1:8" x14ac:dyDescent="0.35">
      <c r="A846" s="21"/>
      <c r="B846" s="21"/>
      <c r="C846" s="17"/>
      <c r="D846" s="21"/>
      <c r="E846" s="21"/>
      <c r="F846" s="17"/>
      <c r="G846" s="17"/>
      <c r="H846" s="93"/>
    </row>
    <row r="847" spans="1:8" x14ac:dyDescent="0.35">
      <c r="A847" s="21"/>
      <c r="B847" s="21"/>
      <c r="C847" s="17"/>
      <c r="D847" s="21"/>
      <c r="E847" s="21"/>
      <c r="F847" s="17"/>
      <c r="G847" s="17"/>
      <c r="H847" s="93"/>
    </row>
    <row r="848" spans="1:8" x14ac:dyDescent="0.35">
      <c r="A848" s="21"/>
      <c r="B848" s="21"/>
      <c r="C848" s="17"/>
      <c r="D848" s="21"/>
      <c r="E848" s="21"/>
      <c r="F848" s="17"/>
      <c r="G848" s="17"/>
      <c r="H848" s="93"/>
    </row>
    <row r="849" spans="1:8" x14ac:dyDescent="0.35">
      <c r="A849" s="21"/>
      <c r="B849" s="21"/>
      <c r="C849" s="17"/>
      <c r="D849" s="21"/>
      <c r="E849" s="21"/>
      <c r="F849" s="17"/>
      <c r="G849" s="17"/>
      <c r="H849" s="93"/>
    </row>
    <row r="850" spans="1:8" x14ac:dyDescent="0.35">
      <c r="A850" s="21"/>
      <c r="B850" s="21"/>
      <c r="C850" s="17"/>
      <c r="D850" s="21"/>
      <c r="E850" s="21"/>
      <c r="F850" s="17"/>
      <c r="G850" s="17"/>
      <c r="H850" s="93"/>
    </row>
    <row r="851" spans="1:8" x14ac:dyDescent="0.35">
      <c r="A851" s="21"/>
      <c r="B851" s="21"/>
      <c r="C851" s="17"/>
      <c r="D851" s="21"/>
      <c r="E851" s="21"/>
      <c r="F851" s="17"/>
      <c r="G851" s="17"/>
      <c r="H851" s="93"/>
    </row>
    <row r="852" spans="1:8" x14ac:dyDescent="0.35">
      <c r="A852" s="21"/>
      <c r="B852" s="21"/>
      <c r="C852" s="17"/>
      <c r="D852" s="21"/>
      <c r="E852" s="21"/>
      <c r="F852" s="17"/>
      <c r="G852" s="17"/>
      <c r="H852" s="93"/>
    </row>
    <row r="853" spans="1:8" x14ac:dyDescent="0.35">
      <c r="A853" s="21"/>
      <c r="B853" s="21"/>
      <c r="C853" s="17"/>
      <c r="D853" s="21"/>
      <c r="E853" s="21"/>
      <c r="F853" s="17"/>
      <c r="G853" s="17"/>
      <c r="H853" s="93"/>
    </row>
    <row r="854" spans="1:8" x14ac:dyDescent="0.35">
      <c r="A854" s="21"/>
      <c r="B854" s="21"/>
      <c r="C854" s="17"/>
      <c r="D854" s="21"/>
      <c r="E854" s="21"/>
      <c r="F854" s="17"/>
      <c r="G854" s="17"/>
      <c r="H854" s="93"/>
    </row>
    <row r="855" spans="1:8" x14ac:dyDescent="0.35">
      <c r="A855" s="21"/>
      <c r="B855" s="21"/>
      <c r="C855" s="17"/>
      <c r="D855" s="21"/>
      <c r="E855" s="21"/>
      <c r="F855" s="17"/>
      <c r="G855" s="17"/>
      <c r="H855" s="93"/>
    </row>
    <row r="856" spans="1:8" x14ac:dyDescent="0.35">
      <c r="A856" s="21"/>
      <c r="B856" s="21"/>
      <c r="C856" s="17"/>
      <c r="D856" s="21"/>
      <c r="E856" s="21"/>
      <c r="F856" s="17"/>
      <c r="G856" s="17"/>
      <c r="H856" s="93"/>
    </row>
    <row r="857" spans="1:8" x14ac:dyDescent="0.35">
      <c r="A857" s="21"/>
      <c r="B857" s="21"/>
      <c r="C857" s="17"/>
      <c r="D857" s="21"/>
      <c r="E857" s="21"/>
      <c r="F857" s="17"/>
      <c r="G857" s="17"/>
      <c r="H857" s="93"/>
    </row>
    <row r="858" spans="1:8" x14ac:dyDescent="0.35">
      <c r="A858" s="21"/>
      <c r="B858" s="21"/>
      <c r="C858" s="17"/>
      <c r="D858" s="21"/>
      <c r="E858" s="21"/>
      <c r="F858" s="17"/>
      <c r="G858" s="17"/>
      <c r="H858" s="93"/>
    </row>
    <row r="859" spans="1:8" x14ac:dyDescent="0.35">
      <c r="A859" s="21"/>
      <c r="B859" s="21"/>
      <c r="C859" s="17"/>
      <c r="D859" s="21"/>
      <c r="E859" s="21"/>
      <c r="F859" s="17"/>
      <c r="G859" s="17"/>
      <c r="H859" s="93"/>
    </row>
    <row r="860" spans="1:8" x14ac:dyDescent="0.35">
      <c r="A860" s="21"/>
      <c r="B860" s="21"/>
      <c r="C860" s="17"/>
      <c r="D860" s="21"/>
      <c r="E860" s="21"/>
      <c r="F860" s="17"/>
      <c r="G860" s="17"/>
      <c r="H860" s="93"/>
    </row>
    <row r="861" spans="1:8" x14ac:dyDescent="0.35">
      <c r="A861" s="21"/>
      <c r="B861" s="21"/>
      <c r="C861" s="17"/>
      <c r="D861" s="21"/>
      <c r="E861" s="21"/>
      <c r="F861" s="17"/>
      <c r="G861" s="17"/>
      <c r="H861" s="93"/>
    </row>
    <row r="862" spans="1:8" x14ac:dyDescent="0.35">
      <c r="A862" s="21"/>
      <c r="B862" s="21"/>
      <c r="C862" s="17"/>
      <c r="D862" s="21"/>
      <c r="E862" s="21"/>
      <c r="F862" s="17"/>
      <c r="G862" s="17"/>
      <c r="H862" s="93"/>
    </row>
    <row r="863" spans="1:8" x14ac:dyDescent="0.35">
      <c r="A863" s="21"/>
      <c r="B863" s="21"/>
      <c r="C863" s="17"/>
      <c r="D863" s="21"/>
      <c r="E863" s="21"/>
      <c r="F863" s="17"/>
      <c r="G863" s="17"/>
      <c r="H863" s="93"/>
    </row>
    <row r="864" spans="1:8" x14ac:dyDescent="0.35">
      <c r="A864" s="21"/>
      <c r="B864" s="21"/>
      <c r="C864" s="17"/>
      <c r="D864" s="21"/>
      <c r="E864" s="21"/>
      <c r="F864" s="17"/>
      <c r="G864" s="17"/>
      <c r="H864" s="93"/>
    </row>
    <row r="865" spans="1:8" x14ac:dyDescent="0.35">
      <c r="A865" s="21"/>
      <c r="B865" s="21"/>
      <c r="C865" s="17"/>
      <c r="D865" s="21"/>
      <c r="E865" s="21"/>
      <c r="F865" s="17"/>
      <c r="G865" s="17"/>
      <c r="H865" s="93"/>
    </row>
    <row r="866" spans="1:8" x14ac:dyDescent="0.35">
      <c r="A866" s="21"/>
      <c r="B866" s="21"/>
      <c r="C866" s="17"/>
      <c r="D866" s="21"/>
      <c r="E866" s="21"/>
      <c r="F866" s="17"/>
      <c r="G866" s="17"/>
      <c r="H866" s="93"/>
    </row>
    <row r="867" spans="1:8" x14ac:dyDescent="0.35">
      <c r="A867" s="21"/>
      <c r="B867" s="21"/>
      <c r="C867" s="17"/>
      <c r="D867" s="21"/>
      <c r="E867" s="21"/>
      <c r="F867" s="17"/>
      <c r="G867" s="17"/>
      <c r="H867" s="93"/>
    </row>
    <row r="868" spans="1:8" x14ac:dyDescent="0.35">
      <c r="A868" s="21"/>
      <c r="B868" s="21"/>
      <c r="C868" s="17"/>
      <c r="D868" s="21"/>
      <c r="E868" s="21"/>
      <c r="F868" s="17"/>
      <c r="G868" s="17"/>
      <c r="H868" s="93"/>
    </row>
    <row r="869" spans="1:8" x14ac:dyDescent="0.35">
      <c r="A869" s="21"/>
      <c r="B869" s="21"/>
      <c r="C869" s="17"/>
      <c r="D869" s="21"/>
      <c r="E869" s="21"/>
      <c r="F869" s="17"/>
      <c r="G869" s="17"/>
      <c r="H869" s="93"/>
    </row>
    <row r="870" spans="1:8" x14ac:dyDescent="0.35">
      <c r="A870" s="21"/>
      <c r="B870" s="21"/>
      <c r="C870" s="17"/>
      <c r="D870" s="21"/>
      <c r="E870" s="21"/>
      <c r="F870" s="17"/>
      <c r="G870" s="17"/>
      <c r="H870" s="93"/>
    </row>
    <row r="871" spans="1:8" x14ac:dyDescent="0.35">
      <c r="A871" s="21"/>
      <c r="B871" s="21"/>
      <c r="C871" s="17"/>
      <c r="D871" s="21"/>
      <c r="E871" s="21"/>
      <c r="F871" s="17"/>
      <c r="G871" s="17"/>
      <c r="H871" s="93"/>
    </row>
    <row r="872" spans="1:8" x14ac:dyDescent="0.35">
      <c r="A872" s="21"/>
      <c r="B872" s="21"/>
      <c r="C872" s="17"/>
      <c r="D872" s="21"/>
      <c r="E872" s="21"/>
      <c r="F872" s="17"/>
      <c r="G872" s="17"/>
      <c r="H872" s="93"/>
    </row>
    <row r="873" spans="1:8" x14ac:dyDescent="0.35">
      <c r="A873" s="21"/>
      <c r="B873" s="21"/>
      <c r="C873" s="17"/>
      <c r="D873" s="21"/>
      <c r="E873" s="21"/>
      <c r="F873" s="17"/>
      <c r="G873" s="17"/>
      <c r="H873" s="93"/>
    </row>
    <row r="874" spans="1:8" x14ac:dyDescent="0.35">
      <c r="A874" s="21"/>
      <c r="B874" s="21"/>
      <c r="C874" s="17"/>
      <c r="D874" s="21"/>
      <c r="E874" s="21"/>
      <c r="F874" s="17"/>
      <c r="G874" s="17"/>
      <c r="H874" s="93"/>
    </row>
    <row r="875" spans="1:8" x14ac:dyDescent="0.35">
      <c r="A875" s="21"/>
      <c r="B875" s="21"/>
      <c r="C875" s="17"/>
      <c r="D875" s="21"/>
      <c r="E875" s="21"/>
      <c r="F875" s="17"/>
      <c r="G875" s="17"/>
      <c r="H875" s="93"/>
    </row>
    <row r="876" spans="1:8" x14ac:dyDescent="0.35">
      <c r="A876" s="21"/>
      <c r="B876" s="21"/>
      <c r="C876" s="17"/>
      <c r="D876" s="21"/>
      <c r="E876" s="21"/>
      <c r="F876" s="17"/>
      <c r="G876" s="17"/>
      <c r="H876" s="93"/>
    </row>
    <row r="877" spans="1:8" x14ac:dyDescent="0.35">
      <c r="A877" s="21"/>
      <c r="B877" s="21"/>
      <c r="C877" s="17"/>
      <c r="D877" s="21"/>
      <c r="E877" s="21"/>
      <c r="F877" s="17"/>
      <c r="G877" s="17"/>
      <c r="H877" s="93"/>
    </row>
    <row r="878" spans="1:8" x14ac:dyDescent="0.35">
      <c r="A878" s="21"/>
      <c r="B878" s="21"/>
      <c r="C878" s="17"/>
      <c r="D878" s="21"/>
      <c r="E878" s="21"/>
      <c r="F878" s="17"/>
      <c r="G878" s="17"/>
      <c r="H878" s="93"/>
    </row>
    <row r="879" spans="1:8" x14ac:dyDescent="0.35">
      <c r="A879" s="21"/>
      <c r="B879" s="21"/>
      <c r="C879" s="17"/>
      <c r="D879" s="21"/>
      <c r="E879" s="21"/>
      <c r="F879" s="17"/>
      <c r="G879" s="17"/>
      <c r="H879" s="93"/>
    </row>
    <row r="880" spans="1:8" x14ac:dyDescent="0.35">
      <c r="A880" s="21"/>
      <c r="B880" s="21"/>
      <c r="C880" s="17"/>
      <c r="D880" s="21"/>
      <c r="E880" s="21"/>
      <c r="F880" s="17"/>
      <c r="G880" s="17"/>
      <c r="H880" s="93"/>
    </row>
    <row r="881" spans="1:8" x14ac:dyDescent="0.35">
      <c r="A881" s="21"/>
      <c r="B881" s="21"/>
      <c r="C881" s="17"/>
      <c r="D881" s="21"/>
      <c r="E881" s="21"/>
      <c r="F881" s="17"/>
      <c r="G881" s="17"/>
      <c r="H881" s="93"/>
    </row>
    <row r="882" spans="1:8" x14ac:dyDescent="0.35">
      <c r="A882" s="21"/>
      <c r="B882" s="21"/>
      <c r="C882" s="17"/>
      <c r="D882" s="21"/>
      <c r="E882" s="21"/>
      <c r="F882" s="17"/>
      <c r="G882" s="17"/>
      <c r="H882" s="93"/>
    </row>
    <row r="883" spans="1:8" x14ac:dyDescent="0.35">
      <c r="A883" s="21"/>
      <c r="B883" s="21"/>
      <c r="C883" s="17"/>
      <c r="D883" s="21"/>
      <c r="E883" s="21"/>
      <c r="F883" s="17"/>
      <c r="G883" s="17"/>
      <c r="H883" s="93"/>
    </row>
    <row r="884" spans="1:8" x14ac:dyDescent="0.35">
      <c r="A884" s="21"/>
      <c r="B884" s="21"/>
      <c r="C884" s="17"/>
      <c r="D884" s="21"/>
      <c r="E884" s="21"/>
      <c r="F884" s="17"/>
      <c r="G884" s="17"/>
      <c r="H884" s="93"/>
    </row>
    <row r="885" spans="1:8" x14ac:dyDescent="0.35">
      <c r="A885" s="21"/>
      <c r="B885" s="21"/>
      <c r="C885" s="17"/>
      <c r="D885" s="21"/>
      <c r="E885" s="21"/>
      <c r="F885" s="17"/>
      <c r="G885" s="17"/>
      <c r="H885" s="93"/>
    </row>
    <row r="886" spans="1:8" x14ac:dyDescent="0.35">
      <c r="A886" s="21"/>
      <c r="B886" s="21"/>
      <c r="C886" s="17"/>
      <c r="D886" s="21"/>
      <c r="E886" s="21"/>
      <c r="F886" s="17"/>
      <c r="G886" s="17"/>
      <c r="H886" s="93"/>
    </row>
    <row r="887" spans="1:8" x14ac:dyDescent="0.35">
      <c r="A887" s="21"/>
      <c r="B887" s="21"/>
      <c r="C887" s="17"/>
      <c r="D887" s="21"/>
      <c r="E887" s="21"/>
      <c r="F887" s="17"/>
      <c r="G887" s="17"/>
      <c r="H887" s="93"/>
    </row>
    <row r="888" spans="1:8" x14ac:dyDescent="0.35">
      <c r="A888" s="21"/>
      <c r="B888" s="21"/>
      <c r="C888" s="17"/>
      <c r="D888" s="21"/>
      <c r="E888" s="21"/>
      <c r="F888" s="17"/>
      <c r="G888" s="17"/>
      <c r="H888" s="93"/>
    </row>
    <row r="889" spans="1:8" x14ac:dyDescent="0.35">
      <c r="A889" s="21"/>
      <c r="B889" s="21"/>
      <c r="C889" s="17"/>
      <c r="D889" s="21"/>
      <c r="E889" s="21"/>
      <c r="F889" s="17"/>
      <c r="G889" s="17"/>
      <c r="H889" s="93"/>
    </row>
    <row r="890" spans="1:8" x14ac:dyDescent="0.35">
      <c r="A890" s="21"/>
      <c r="B890" s="21"/>
      <c r="C890" s="17"/>
      <c r="D890" s="21"/>
      <c r="E890" s="21"/>
      <c r="F890" s="17"/>
      <c r="G890" s="17"/>
      <c r="H890" s="93"/>
    </row>
    <row r="891" spans="1:8" x14ac:dyDescent="0.35">
      <c r="A891" s="21"/>
      <c r="B891" s="21"/>
      <c r="C891" s="17"/>
      <c r="D891" s="21"/>
      <c r="E891" s="21"/>
      <c r="F891" s="17"/>
      <c r="G891" s="17"/>
      <c r="H891" s="93"/>
    </row>
    <row r="892" spans="1:8" x14ac:dyDescent="0.35">
      <c r="A892" s="21"/>
      <c r="B892" s="21"/>
      <c r="C892" s="17"/>
      <c r="D892" s="21"/>
      <c r="E892" s="21"/>
      <c r="F892" s="17"/>
      <c r="G892" s="17"/>
      <c r="H892" s="93"/>
    </row>
    <row r="893" spans="1:8" x14ac:dyDescent="0.35">
      <c r="A893" s="21"/>
      <c r="B893" s="21"/>
      <c r="C893" s="17"/>
      <c r="D893" s="21"/>
      <c r="E893" s="21"/>
      <c r="F893" s="17"/>
      <c r="G893" s="17"/>
      <c r="H893" s="93"/>
    </row>
    <row r="894" spans="1:8" x14ac:dyDescent="0.35">
      <c r="A894" s="21"/>
      <c r="B894" s="21"/>
      <c r="C894" s="17"/>
      <c r="D894" s="21"/>
      <c r="E894" s="21"/>
      <c r="F894" s="17"/>
      <c r="G894" s="17"/>
      <c r="H894" s="93"/>
    </row>
    <row r="895" spans="1:8" x14ac:dyDescent="0.35">
      <c r="A895" s="21"/>
      <c r="B895" s="21"/>
      <c r="C895" s="17"/>
      <c r="D895" s="21"/>
      <c r="E895" s="21"/>
      <c r="F895" s="17"/>
      <c r="G895" s="17"/>
      <c r="H895" s="93"/>
    </row>
    <row r="896" spans="1:8" x14ac:dyDescent="0.35">
      <c r="A896" s="21"/>
      <c r="B896" s="21"/>
      <c r="C896" s="17"/>
      <c r="D896" s="21"/>
      <c r="E896" s="21"/>
      <c r="F896" s="17"/>
      <c r="G896" s="17"/>
      <c r="H896" s="93"/>
    </row>
    <row r="897" spans="1:8" x14ac:dyDescent="0.35">
      <c r="A897" s="21"/>
      <c r="B897" s="21"/>
      <c r="C897" s="17"/>
      <c r="D897" s="21"/>
      <c r="E897" s="21"/>
      <c r="F897" s="17"/>
      <c r="G897" s="17"/>
      <c r="H897" s="93"/>
    </row>
    <row r="898" spans="1:8" x14ac:dyDescent="0.35">
      <c r="A898" s="21"/>
      <c r="B898" s="21"/>
      <c r="C898" s="17"/>
      <c r="D898" s="21"/>
      <c r="E898" s="21"/>
      <c r="F898" s="17"/>
      <c r="G898" s="17"/>
      <c r="H898" s="93"/>
    </row>
    <row r="899" spans="1:8" x14ac:dyDescent="0.35">
      <c r="A899" s="21"/>
      <c r="B899" s="21"/>
      <c r="C899" s="17"/>
      <c r="D899" s="21"/>
      <c r="E899" s="21"/>
      <c r="F899" s="17"/>
      <c r="G899" s="17"/>
      <c r="H899" s="93"/>
    </row>
    <row r="900" spans="1:8" x14ac:dyDescent="0.35">
      <c r="A900" s="21"/>
      <c r="B900" s="21"/>
      <c r="C900" s="17"/>
      <c r="D900" s="21"/>
      <c r="E900" s="21"/>
      <c r="F900" s="17"/>
      <c r="G900" s="17"/>
      <c r="H900" s="93"/>
    </row>
    <row r="901" spans="1:8" x14ac:dyDescent="0.35">
      <c r="A901" s="21"/>
      <c r="B901" s="21"/>
      <c r="C901" s="17"/>
      <c r="D901" s="21"/>
      <c r="E901" s="21"/>
      <c r="F901" s="17"/>
      <c r="G901" s="17"/>
      <c r="H901" s="93"/>
    </row>
    <row r="902" spans="1:8" x14ac:dyDescent="0.35">
      <c r="A902" s="21"/>
      <c r="B902" s="21"/>
      <c r="C902" s="17"/>
      <c r="D902" s="21"/>
      <c r="E902" s="21"/>
      <c r="F902" s="17"/>
      <c r="G902" s="17"/>
      <c r="H902" s="93"/>
    </row>
    <row r="903" spans="1:8" x14ac:dyDescent="0.35">
      <c r="A903" s="21"/>
      <c r="B903" s="21"/>
      <c r="C903" s="17"/>
      <c r="D903" s="21"/>
      <c r="E903" s="21"/>
      <c r="F903" s="17"/>
      <c r="G903" s="17"/>
      <c r="H903" s="93"/>
    </row>
    <row r="904" spans="1:8" x14ac:dyDescent="0.35">
      <c r="A904" s="21"/>
      <c r="B904" s="21"/>
      <c r="C904" s="17"/>
      <c r="D904" s="21"/>
      <c r="E904" s="21"/>
      <c r="F904" s="17"/>
      <c r="G904" s="17"/>
      <c r="H904" s="93"/>
    </row>
    <row r="905" spans="1:8" x14ac:dyDescent="0.35">
      <c r="A905" s="21"/>
      <c r="B905" s="21"/>
      <c r="C905" s="17"/>
      <c r="D905" s="21"/>
      <c r="E905" s="21"/>
      <c r="F905" s="17"/>
      <c r="G905" s="17"/>
      <c r="H905" s="93"/>
    </row>
    <row r="906" spans="1:8" x14ac:dyDescent="0.35">
      <c r="A906" s="21"/>
      <c r="B906" s="21"/>
      <c r="C906" s="17"/>
      <c r="D906" s="21"/>
      <c r="E906" s="21"/>
      <c r="F906" s="17"/>
      <c r="G906" s="17"/>
      <c r="H906" s="93"/>
    </row>
    <row r="907" spans="1:8" x14ac:dyDescent="0.35">
      <c r="A907" s="21"/>
      <c r="B907" s="21"/>
      <c r="C907" s="17"/>
      <c r="D907" s="21"/>
      <c r="E907" s="21"/>
      <c r="F907" s="17"/>
      <c r="G907" s="17"/>
      <c r="H907" s="93"/>
    </row>
    <row r="908" spans="1:8" x14ac:dyDescent="0.35">
      <c r="A908" s="21"/>
      <c r="B908" s="21"/>
      <c r="C908" s="17"/>
      <c r="D908" s="21"/>
      <c r="E908" s="21"/>
      <c r="F908" s="17"/>
      <c r="G908" s="17"/>
      <c r="H908" s="93"/>
    </row>
    <row r="909" spans="1:8" x14ac:dyDescent="0.35">
      <c r="A909" s="21"/>
      <c r="B909" s="21"/>
      <c r="C909" s="17"/>
      <c r="D909" s="21"/>
      <c r="E909" s="21"/>
      <c r="F909" s="17"/>
      <c r="G909" s="17"/>
      <c r="H909" s="93"/>
    </row>
    <row r="910" spans="1:8" x14ac:dyDescent="0.35">
      <c r="A910" s="21"/>
      <c r="B910" s="21"/>
      <c r="C910" s="17"/>
      <c r="D910" s="21"/>
      <c r="E910" s="21"/>
      <c r="F910" s="17"/>
      <c r="G910" s="17"/>
      <c r="H910" s="93"/>
    </row>
    <row r="911" spans="1:8" x14ac:dyDescent="0.35">
      <c r="A911" s="21"/>
      <c r="B911" s="21"/>
      <c r="C911" s="17"/>
      <c r="D911" s="21"/>
      <c r="E911" s="21"/>
      <c r="F911" s="17"/>
      <c r="G911" s="17"/>
      <c r="H911" s="93"/>
    </row>
    <row r="912" spans="1:8" x14ac:dyDescent="0.35">
      <c r="A912" s="21"/>
      <c r="B912" s="21"/>
      <c r="C912" s="17"/>
      <c r="D912" s="21"/>
      <c r="E912" s="21"/>
      <c r="F912" s="17"/>
      <c r="G912" s="17"/>
      <c r="H912" s="93"/>
    </row>
    <row r="913" spans="1:8" x14ac:dyDescent="0.35">
      <c r="A913" s="21"/>
      <c r="B913" s="21"/>
      <c r="C913" s="17"/>
      <c r="D913" s="21"/>
      <c r="E913" s="21"/>
      <c r="F913" s="17"/>
      <c r="G913" s="17"/>
      <c r="H913" s="93"/>
    </row>
    <row r="914" spans="1:8" x14ac:dyDescent="0.35">
      <c r="A914" s="21"/>
      <c r="B914" s="21"/>
      <c r="C914" s="17"/>
      <c r="D914" s="21"/>
      <c r="E914" s="21"/>
      <c r="F914" s="17"/>
      <c r="G914" s="17"/>
      <c r="H914" s="93"/>
    </row>
    <row r="915" spans="1:8" x14ac:dyDescent="0.35">
      <c r="A915" s="21"/>
      <c r="B915" s="21"/>
      <c r="C915" s="17"/>
      <c r="D915" s="21"/>
      <c r="E915" s="21"/>
      <c r="F915" s="17"/>
      <c r="G915" s="17"/>
      <c r="H915" s="93"/>
    </row>
    <row r="916" spans="1:8" x14ac:dyDescent="0.35">
      <c r="A916" s="21"/>
      <c r="B916" s="21"/>
      <c r="C916" s="17"/>
      <c r="D916" s="21"/>
      <c r="E916" s="21"/>
      <c r="F916" s="17"/>
      <c r="G916" s="17"/>
      <c r="H916" s="93"/>
    </row>
    <row r="917" spans="1:8" x14ac:dyDescent="0.35">
      <c r="A917" s="21"/>
      <c r="B917" s="21"/>
      <c r="C917" s="17"/>
      <c r="D917" s="21"/>
      <c r="E917" s="21"/>
      <c r="F917" s="17"/>
      <c r="G917" s="17"/>
      <c r="H917" s="93"/>
    </row>
    <row r="918" spans="1:8" x14ac:dyDescent="0.35">
      <c r="A918" s="21"/>
      <c r="B918" s="21"/>
      <c r="C918" s="17"/>
      <c r="D918" s="21"/>
      <c r="E918" s="21"/>
      <c r="F918" s="17"/>
      <c r="G918" s="17"/>
      <c r="H918" s="93"/>
    </row>
    <row r="919" spans="1:8" x14ac:dyDescent="0.35">
      <c r="A919" s="21"/>
      <c r="B919" s="21"/>
      <c r="C919" s="17"/>
      <c r="D919" s="21"/>
      <c r="E919" s="21"/>
      <c r="F919" s="17"/>
      <c r="G919" s="17"/>
      <c r="H919" s="93"/>
    </row>
    <row r="920" spans="1:8" x14ac:dyDescent="0.35">
      <c r="A920" s="21"/>
      <c r="B920" s="21"/>
      <c r="C920" s="17"/>
      <c r="D920" s="21"/>
      <c r="E920" s="21"/>
      <c r="F920" s="17"/>
      <c r="G920" s="17"/>
      <c r="H920" s="93"/>
    </row>
    <row r="921" spans="1:8" x14ac:dyDescent="0.35">
      <c r="A921" s="21"/>
      <c r="B921" s="21"/>
      <c r="C921" s="17"/>
      <c r="D921" s="21"/>
      <c r="E921" s="21"/>
      <c r="F921" s="17"/>
      <c r="G921" s="17"/>
      <c r="H921" s="93"/>
    </row>
    <row r="922" spans="1:8" x14ac:dyDescent="0.35">
      <c r="A922" s="21"/>
      <c r="B922" s="21"/>
      <c r="C922" s="17"/>
      <c r="D922" s="21"/>
      <c r="E922" s="21"/>
      <c r="F922" s="17"/>
      <c r="G922" s="17"/>
      <c r="H922" s="93"/>
    </row>
    <row r="923" spans="1:8" x14ac:dyDescent="0.35">
      <c r="A923" s="21"/>
      <c r="B923" s="21"/>
      <c r="C923" s="17"/>
      <c r="D923" s="21"/>
      <c r="E923" s="21"/>
      <c r="F923" s="17"/>
      <c r="G923" s="17"/>
      <c r="H923" s="93"/>
    </row>
    <row r="924" spans="1:8" x14ac:dyDescent="0.35">
      <c r="A924" s="21"/>
      <c r="B924" s="21"/>
      <c r="C924" s="17"/>
      <c r="D924" s="21"/>
      <c r="E924" s="21"/>
      <c r="F924" s="17"/>
      <c r="G924" s="17"/>
      <c r="H924" s="93"/>
    </row>
    <row r="925" spans="1:8" x14ac:dyDescent="0.35">
      <c r="A925" s="21"/>
      <c r="B925" s="21"/>
      <c r="C925" s="17"/>
      <c r="D925" s="21"/>
      <c r="E925" s="21"/>
      <c r="F925" s="17"/>
      <c r="G925" s="17"/>
      <c r="H925" s="93"/>
    </row>
    <row r="926" spans="1:8" x14ac:dyDescent="0.35">
      <c r="A926" s="21"/>
      <c r="B926" s="21"/>
      <c r="C926" s="17"/>
      <c r="D926" s="21"/>
      <c r="E926" s="21"/>
      <c r="F926" s="17"/>
      <c r="G926" s="17"/>
      <c r="H926" s="93"/>
    </row>
    <row r="927" spans="1:8" x14ac:dyDescent="0.35">
      <c r="A927" s="21"/>
      <c r="B927" s="21"/>
      <c r="C927" s="17"/>
      <c r="D927" s="21"/>
      <c r="E927" s="21"/>
      <c r="F927" s="17"/>
      <c r="G927" s="17"/>
      <c r="H927" s="93"/>
    </row>
    <row r="928" spans="1:8" x14ac:dyDescent="0.35">
      <c r="A928" s="21"/>
      <c r="B928" s="21"/>
      <c r="C928" s="17"/>
      <c r="D928" s="21"/>
      <c r="E928" s="21"/>
      <c r="F928" s="17"/>
      <c r="G928" s="17"/>
      <c r="H928" s="93"/>
    </row>
    <row r="929" spans="1:8" x14ac:dyDescent="0.35">
      <c r="A929" s="21"/>
      <c r="B929" s="21"/>
      <c r="C929" s="17"/>
      <c r="D929" s="21"/>
      <c r="E929" s="21"/>
      <c r="F929" s="17"/>
      <c r="G929" s="17"/>
      <c r="H929" s="93"/>
    </row>
    <row r="930" spans="1:8" x14ac:dyDescent="0.35">
      <c r="A930" s="21"/>
      <c r="B930" s="21"/>
      <c r="C930" s="17"/>
      <c r="D930" s="21"/>
      <c r="E930" s="21"/>
      <c r="F930" s="17"/>
      <c r="G930" s="17"/>
      <c r="H930" s="93"/>
    </row>
    <row r="931" spans="1:8" x14ac:dyDescent="0.35">
      <c r="A931" s="21"/>
      <c r="B931" s="21"/>
      <c r="C931" s="17"/>
      <c r="D931" s="21"/>
      <c r="E931" s="21"/>
      <c r="F931" s="17"/>
      <c r="G931" s="17"/>
      <c r="H931" s="93"/>
    </row>
    <row r="932" spans="1:8" x14ac:dyDescent="0.35">
      <c r="A932" s="21"/>
      <c r="B932" s="21"/>
      <c r="C932" s="17"/>
      <c r="D932" s="21"/>
      <c r="E932" s="21"/>
      <c r="F932" s="17"/>
      <c r="G932" s="17"/>
      <c r="H932" s="93"/>
    </row>
    <row r="933" spans="1:8" x14ac:dyDescent="0.35">
      <c r="A933" s="21"/>
      <c r="B933" s="21"/>
      <c r="C933" s="17"/>
      <c r="D933" s="21"/>
      <c r="E933" s="21"/>
      <c r="F933" s="17"/>
      <c r="G933" s="17"/>
      <c r="H933" s="93"/>
    </row>
    <row r="934" spans="1:8" x14ac:dyDescent="0.35">
      <c r="A934" s="21"/>
      <c r="B934" s="21"/>
      <c r="C934" s="17"/>
      <c r="D934" s="21"/>
      <c r="E934" s="21"/>
      <c r="F934" s="17"/>
      <c r="G934" s="17"/>
      <c r="H934" s="93"/>
    </row>
    <row r="935" spans="1:8" x14ac:dyDescent="0.35">
      <c r="A935" s="21"/>
      <c r="B935" s="21"/>
      <c r="C935" s="17"/>
      <c r="D935" s="21"/>
      <c r="E935" s="21"/>
      <c r="F935" s="17"/>
      <c r="G935" s="17"/>
      <c r="H935" s="93"/>
    </row>
    <row r="936" spans="1:8" x14ac:dyDescent="0.35">
      <c r="A936" s="21"/>
      <c r="B936" s="21"/>
      <c r="C936" s="17"/>
      <c r="D936" s="21"/>
      <c r="E936" s="21"/>
      <c r="F936" s="17"/>
      <c r="G936" s="17"/>
      <c r="H936" s="93"/>
    </row>
    <row r="937" spans="1:8" x14ac:dyDescent="0.35">
      <c r="A937" s="21"/>
      <c r="B937" s="21"/>
      <c r="C937" s="17"/>
      <c r="D937" s="21"/>
      <c r="E937" s="21"/>
      <c r="F937" s="17"/>
      <c r="G937" s="17"/>
      <c r="H937" s="93"/>
    </row>
    <row r="938" spans="1:8" x14ac:dyDescent="0.35">
      <c r="A938" s="21"/>
      <c r="B938" s="21"/>
      <c r="C938" s="17"/>
      <c r="D938" s="21"/>
      <c r="E938" s="21"/>
      <c r="F938" s="17"/>
      <c r="G938" s="17"/>
      <c r="H938" s="93"/>
    </row>
    <row r="939" spans="1:8" x14ac:dyDescent="0.35">
      <c r="A939" s="21"/>
      <c r="B939" s="21"/>
      <c r="C939" s="17"/>
      <c r="D939" s="21"/>
      <c r="E939" s="21"/>
      <c r="F939" s="17"/>
      <c r="G939" s="17"/>
      <c r="H939" s="93"/>
    </row>
    <row r="940" spans="1:8" x14ac:dyDescent="0.35">
      <c r="A940" s="21"/>
      <c r="B940" s="21"/>
      <c r="C940" s="17"/>
      <c r="D940" s="21"/>
      <c r="E940" s="21"/>
      <c r="F940" s="17"/>
      <c r="G940" s="17"/>
      <c r="H940" s="93"/>
    </row>
    <row r="941" spans="1:8" x14ac:dyDescent="0.35">
      <c r="A941" s="21"/>
      <c r="B941" s="21"/>
      <c r="C941" s="17"/>
      <c r="D941" s="21"/>
      <c r="E941" s="21"/>
      <c r="F941" s="17"/>
      <c r="G941" s="17"/>
      <c r="H941" s="93"/>
    </row>
    <row r="942" spans="1:8" x14ac:dyDescent="0.35">
      <c r="A942" s="21"/>
      <c r="B942" s="21"/>
      <c r="C942" s="17"/>
      <c r="D942" s="21"/>
      <c r="E942" s="21"/>
      <c r="F942" s="17"/>
      <c r="G942" s="17"/>
      <c r="H942" s="93"/>
    </row>
    <row r="943" spans="1:8" x14ac:dyDescent="0.35">
      <c r="A943" s="21"/>
      <c r="B943" s="21"/>
      <c r="C943" s="17"/>
      <c r="D943" s="21"/>
      <c r="E943" s="21"/>
      <c r="F943" s="17"/>
      <c r="G943" s="17"/>
      <c r="H943" s="93"/>
    </row>
    <row r="944" spans="1:8" x14ac:dyDescent="0.35">
      <c r="A944" s="21"/>
      <c r="B944" s="21"/>
      <c r="C944" s="17"/>
      <c r="D944" s="21"/>
      <c r="E944" s="21"/>
      <c r="F944" s="17"/>
      <c r="G944" s="17"/>
      <c r="H944" s="93"/>
    </row>
    <row r="945" spans="1:8" x14ac:dyDescent="0.35">
      <c r="A945" s="21"/>
      <c r="B945" s="21"/>
      <c r="C945" s="17"/>
      <c r="D945" s="21"/>
      <c r="E945" s="21"/>
      <c r="F945" s="17"/>
      <c r="G945" s="17"/>
      <c r="H945" s="93"/>
    </row>
    <row r="946" spans="1:8" x14ac:dyDescent="0.35">
      <c r="A946" s="21"/>
      <c r="B946" s="21"/>
      <c r="C946" s="17"/>
      <c r="D946" s="21"/>
      <c r="E946" s="21"/>
      <c r="F946" s="17"/>
      <c r="G946" s="17"/>
      <c r="H946" s="93"/>
    </row>
    <row r="947" spans="1:8" x14ac:dyDescent="0.35">
      <c r="A947" s="21"/>
      <c r="B947" s="21"/>
      <c r="C947" s="17"/>
      <c r="D947" s="21"/>
      <c r="E947" s="21"/>
      <c r="F947" s="17"/>
      <c r="G947" s="17"/>
      <c r="H947" s="93"/>
    </row>
    <row r="948" spans="1:8" x14ac:dyDescent="0.35">
      <c r="A948" s="21"/>
      <c r="B948" s="21"/>
      <c r="C948" s="17"/>
      <c r="D948" s="21"/>
      <c r="E948" s="21"/>
      <c r="F948" s="17"/>
      <c r="G948" s="17"/>
      <c r="H948" s="93"/>
    </row>
    <row r="949" spans="1:8" x14ac:dyDescent="0.35">
      <c r="A949" s="21"/>
      <c r="B949" s="21"/>
      <c r="C949" s="17"/>
      <c r="D949" s="21"/>
      <c r="E949" s="21"/>
      <c r="F949" s="17"/>
      <c r="G949" s="17"/>
      <c r="H949" s="93"/>
    </row>
    <row r="950" spans="1:8" x14ac:dyDescent="0.35">
      <c r="A950" s="21"/>
      <c r="B950" s="21"/>
      <c r="C950" s="17"/>
      <c r="D950" s="21"/>
      <c r="E950" s="21"/>
      <c r="F950" s="17"/>
      <c r="G950" s="17"/>
      <c r="H950" s="93"/>
    </row>
    <row r="951" spans="1:8" x14ac:dyDescent="0.35">
      <c r="A951" s="21"/>
      <c r="B951" s="21"/>
      <c r="C951" s="17"/>
      <c r="D951" s="21"/>
      <c r="E951" s="21"/>
      <c r="F951" s="17"/>
      <c r="G951" s="17"/>
      <c r="H951" s="93"/>
    </row>
    <row r="952" spans="1:8" x14ac:dyDescent="0.35">
      <c r="A952" s="21"/>
      <c r="B952" s="21"/>
      <c r="C952" s="17"/>
      <c r="D952" s="21"/>
      <c r="E952" s="21"/>
      <c r="F952" s="17"/>
      <c r="G952" s="17"/>
      <c r="H952" s="93"/>
    </row>
    <row r="953" spans="1:8" x14ac:dyDescent="0.35">
      <c r="A953" s="21"/>
      <c r="B953" s="21"/>
      <c r="C953" s="17"/>
      <c r="D953" s="21"/>
      <c r="E953" s="21"/>
      <c r="F953" s="17"/>
      <c r="G953" s="17"/>
      <c r="H953" s="93"/>
    </row>
    <row r="954" spans="1:8" x14ac:dyDescent="0.35">
      <c r="A954" s="21"/>
      <c r="B954" s="21"/>
      <c r="C954" s="17"/>
      <c r="D954" s="21"/>
      <c r="E954" s="21"/>
      <c r="F954" s="17"/>
      <c r="G954" s="17"/>
      <c r="H954" s="93"/>
    </row>
    <row r="955" spans="1:8" x14ac:dyDescent="0.35">
      <c r="A955" s="21"/>
      <c r="B955" s="21"/>
      <c r="C955" s="17"/>
      <c r="D955" s="21"/>
      <c r="E955" s="21"/>
      <c r="F955" s="17"/>
      <c r="G955" s="17"/>
      <c r="H955" s="93"/>
    </row>
    <row r="956" spans="1:8" x14ac:dyDescent="0.35">
      <c r="A956" s="21"/>
      <c r="B956" s="21"/>
      <c r="C956" s="17"/>
      <c r="D956" s="21"/>
      <c r="E956" s="21"/>
      <c r="F956" s="17"/>
      <c r="G956" s="17"/>
      <c r="H956" s="93"/>
    </row>
    <row r="957" spans="1:8" x14ac:dyDescent="0.35">
      <c r="A957" s="21"/>
      <c r="B957" s="21"/>
      <c r="C957" s="17"/>
      <c r="D957" s="21"/>
      <c r="E957" s="21"/>
      <c r="F957" s="17"/>
      <c r="G957" s="17"/>
      <c r="H957" s="93"/>
    </row>
    <row r="958" spans="1:8" x14ac:dyDescent="0.35">
      <c r="A958" s="21"/>
      <c r="B958" s="21"/>
      <c r="C958" s="17"/>
      <c r="D958" s="21"/>
      <c r="E958" s="21"/>
      <c r="F958" s="17"/>
      <c r="G958" s="17"/>
      <c r="H958" s="93"/>
    </row>
    <row r="959" spans="1:8" x14ac:dyDescent="0.35">
      <c r="A959" s="21"/>
      <c r="B959" s="21"/>
      <c r="C959" s="17"/>
      <c r="D959" s="21"/>
      <c r="E959" s="21"/>
      <c r="F959" s="17"/>
      <c r="G959" s="17"/>
      <c r="H959" s="93"/>
    </row>
    <row r="960" spans="1:8" x14ac:dyDescent="0.35">
      <c r="A960" s="21"/>
      <c r="B960" s="21"/>
      <c r="C960" s="17"/>
      <c r="D960" s="21"/>
      <c r="E960" s="21"/>
      <c r="F960" s="17"/>
      <c r="G960" s="17"/>
      <c r="H960" s="93"/>
    </row>
    <row r="961" spans="1:8" x14ac:dyDescent="0.35">
      <c r="A961" s="21"/>
      <c r="B961" s="21"/>
      <c r="C961" s="17"/>
      <c r="D961" s="21"/>
      <c r="E961" s="21"/>
      <c r="F961" s="17"/>
      <c r="G961" s="17"/>
      <c r="H961" s="93"/>
    </row>
    <row r="962" spans="1:8" x14ac:dyDescent="0.35">
      <c r="A962" s="21"/>
      <c r="B962" s="21"/>
      <c r="C962" s="17"/>
      <c r="D962" s="21"/>
      <c r="E962" s="21"/>
      <c r="F962" s="17"/>
      <c r="G962" s="17"/>
      <c r="H962" s="93"/>
    </row>
    <row r="963" spans="1:8" x14ac:dyDescent="0.35">
      <c r="A963" s="21"/>
      <c r="B963" s="21"/>
      <c r="C963" s="17"/>
      <c r="D963" s="21"/>
      <c r="E963" s="21"/>
      <c r="F963" s="17"/>
      <c r="G963" s="17"/>
      <c r="H963" s="93"/>
    </row>
    <row r="964" spans="1:8" x14ac:dyDescent="0.35">
      <c r="A964" s="21"/>
      <c r="B964" s="21"/>
      <c r="C964" s="17"/>
      <c r="D964" s="21"/>
      <c r="E964" s="21"/>
      <c r="F964" s="17"/>
      <c r="G964" s="17"/>
      <c r="H964" s="93"/>
    </row>
    <row r="965" spans="1:8" x14ac:dyDescent="0.35">
      <c r="A965" s="21"/>
      <c r="B965" s="21"/>
      <c r="C965" s="17"/>
      <c r="D965" s="21"/>
      <c r="E965" s="21"/>
      <c r="F965" s="17"/>
      <c r="G965" s="17"/>
      <c r="H965" s="93"/>
    </row>
    <row r="966" spans="1:8" x14ac:dyDescent="0.35">
      <c r="A966" s="21"/>
      <c r="B966" s="21"/>
      <c r="C966" s="17"/>
      <c r="D966" s="21"/>
      <c r="E966" s="21"/>
      <c r="F966" s="17"/>
      <c r="G966" s="17"/>
      <c r="H966" s="93"/>
    </row>
    <row r="967" spans="1:8" x14ac:dyDescent="0.35">
      <c r="A967" s="21"/>
      <c r="B967" s="21"/>
      <c r="C967" s="17"/>
      <c r="D967" s="21"/>
      <c r="E967" s="21"/>
      <c r="F967" s="17"/>
      <c r="G967" s="17"/>
      <c r="H967" s="93"/>
    </row>
    <row r="968" spans="1:8" x14ac:dyDescent="0.35">
      <c r="A968" s="21"/>
      <c r="B968" s="21"/>
      <c r="C968" s="17"/>
      <c r="D968" s="21"/>
      <c r="E968" s="21"/>
      <c r="F968" s="17"/>
      <c r="G968" s="17"/>
      <c r="H968" s="93"/>
    </row>
    <row r="969" spans="1:8" x14ac:dyDescent="0.35">
      <c r="A969" s="21"/>
      <c r="B969" s="21"/>
      <c r="C969" s="17"/>
      <c r="D969" s="21"/>
      <c r="E969" s="21"/>
      <c r="F969" s="17"/>
      <c r="G969" s="17"/>
      <c r="H969" s="93"/>
    </row>
    <row r="970" spans="1:8" x14ac:dyDescent="0.35">
      <c r="A970" s="21"/>
      <c r="B970" s="21"/>
      <c r="C970" s="17"/>
      <c r="D970" s="21"/>
      <c r="E970" s="21"/>
      <c r="F970" s="17"/>
      <c r="G970" s="17"/>
      <c r="H970" s="93"/>
    </row>
    <row r="971" spans="1:8" x14ac:dyDescent="0.35">
      <c r="A971" s="21"/>
      <c r="B971" s="21"/>
      <c r="C971" s="17"/>
      <c r="D971" s="21"/>
      <c r="E971" s="21"/>
      <c r="F971" s="17"/>
      <c r="G971" s="17"/>
      <c r="H971" s="93"/>
    </row>
    <row r="972" spans="1:8" x14ac:dyDescent="0.35">
      <c r="A972" s="21"/>
      <c r="B972" s="21"/>
      <c r="C972" s="17"/>
      <c r="D972" s="21"/>
      <c r="E972" s="21"/>
      <c r="F972" s="17"/>
      <c r="G972" s="17"/>
      <c r="H972" s="93"/>
    </row>
    <row r="973" spans="1:8" x14ac:dyDescent="0.35">
      <c r="A973" s="21"/>
      <c r="B973" s="21"/>
      <c r="C973" s="17"/>
      <c r="D973" s="21"/>
      <c r="E973" s="21"/>
      <c r="F973" s="17"/>
      <c r="G973" s="17"/>
      <c r="H973" s="93"/>
    </row>
    <row r="974" spans="1:8" x14ac:dyDescent="0.35">
      <c r="A974" s="21"/>
      <c r="B974" s="21"/>
      <c r="C974" s="17"/>
      <c r="D974" s="21"/>
      <c r="E974" s="21"/>
      <c r="F974" s="17"/>
      <c r="G974" s="17"/>
      <c r="H974" s="93"/>
    </row>
    <row r="975" spans="1:8" x14ac:dyDescent="0.35">
      <c r="A975" s="21"/>
      <c r="B975" s="21"/>
      <c r="C975" s="17"/>
      <c r="D975" s="21"/>
      <c r="E975" s="21"/>
      <c r="F975" s="17"/>
      <c r="G975" s="17"/>
      <c r="H975" s="93"/>
    </row>
    <row r="976" spans="1:8" x14ac:dyDescent="0.35">
      <c r="A976" s="21"/>
      <c r="B976" s="21"/>
      <c r="C976" s="17"/>
      <c r="D976" s="21"/>
      <c r="E976" s="21"/>
      <c r="F976" s="17"/>
      <c r="G976" s="17"/>
      <c r="H976" s="93"/>
    </row>
    <row r="977" spans="1:8" x14ac:dyDescent="0.35">
      <c r="A977" s="21"/>
      <c r="B977" s="21"/>
      <c r="C977" s="17"/>
      <c r="D977" s="21"/>
      <c r="E977" s="21"/>
      <c r="F977" s="17"/>
      <c r="G977" s="17"/>
      <c r="H977" s="93"/>
    </row>
    <row r="978" spans="1:8" x14ac:dyDescent="0.35">
      <c r="A978" s="21"/>
      <c r="B978" s="21"/>
      <c r="C978" s="17"/>
      <c r="D978" s="21"/>
      <c r="E978" s="21"/>
      <c r="F978" s="17"/>
      <c r="G978" s="17"/>
      <c r="H978" s="93"/>
    </row>
    <row r="979" spans="1:8" x14ac:dyDescent="0.35">
      <c r="A979" s="21"/>
      <c r="B979" s="21"/>
      <c r="C979" s="17"/>
      <c r="D979" s="21"/>
      <c r="E979" s="21"/>
      <c r="F979" s="17"/>
      <c r="G979" s="17"/>
      <c r="H979" s="93"/>
    </row>
    <row r="980" spans="1:8" x14ac:dyDescent="0.35">
      <c r="A980" s="21"/>
      <c r="B980" s="21"/>
      <c r="C980" s="17"/>
      <c r="D980" s="21"/>
      <c r="E980" s="21"/>
      <c r="F980" s="17"/>
      <c r="G980" s="17"/>
      <c r="H980" s="93"/>
    </row>
    <row r="981" spans="1:8" x14ac:dyDescent="0.35">
      <c r="A981" s="21"/>
      <c r="B981" s="21"/>
      <c r="C981" s="17"/>
      <c r="D981" s="21"/>
      <c r="E981" s="21"/>
      <c r="F981" s="17"/>
      <c r="G981" s="17"/>
      <c r="H981" s="93"/>
    </row>
    <row r="982" spans="1:8" x14ac:dyDescent="0.35">
      <c r="A982" s="21"/>
      <c r="B982" s="21"/>
      <c r="C982" s="17"/>
      <c r="D982" s="21"/>
      <c r="E982" s="21"/>
      <c r="F982" s="17"/>
      <c r="G982" s="17"/>
      <c r="H982" s="93"/>
    </row>
    <row r="983" spans="1:8" x14ac:dyDescent="0.35">
      <c r="A983" s="21"/>
      <c r="B983" s="21"/>
      <c r="C983" s="17"/>
      <c r="D983" s="21"/>
      <c r="E983" s="21"/>
      <c r="F983" s="17"/>
      <c r="G983" s="17"/>
      <c r="H983" s="93"/>
    </row>
    <row r="984" spans="1:8" x14ac:dyDescent="0.35">
      <c r="A984" s="21"/>
      <c r="B984" s="21"/>
      <c r="C984" s="17"/>
      <c r="D984" s="21"/>
      <c r="E984" s="21"/>
      <c r="F984" s="17"/>
      <c r="G984" s="17"/>
      <c r="H984" s="93"/>
    </row>
    <row r="985" spans="1:8" x14ac:dyDescent="0.35">
      <c r="A985" s="21"/>
      <c r="B985" s="21"/>
      <c r="C985" s="17"/>
      <c r="D985" s="21"/>
      <c r="E985" s="21"/>
      <c r="F985" s="17"/>
      <c r="G985" s="17"/>
      <c r="H985" s="93"/>
    </row>
    <row r="986" spans="1:8" x14ac:dyDescent="0.35">
      <c r="A986" s="21"/>
      <c r="B986" s="21"/>
      <c r="C986" s="17"/>
      <c r="D986" s="21"/>
      <c r="E986" s="21"/>
      <c r="F986" s="17"/>
      <c r="G986" s="17"/>
      <c r="H986" s="93"/>
    </row>
    <row r="987" spans="1:8" x14ac:dyDescent="0.35">
      <c r="A987" s="21"/>
      <c r="B987" s="21"/>
      <c r="C987" s="17"/>
      <c r="D987" s="21"/>
      <c r="E987" s="21"/>
      <c r="F987" s="17"/>
      <c r="G987" s="17"/>
      <c r="H987" s="93"/>
    </row>
    <row r="988" spans="1:8" x14ac:dyDescent="0.35">
      <c r="A988" s="21"/>
      <c r="B988" s="21"/>
      <c r="C988" s="17"/>
      <c r="D988" s="21"/>
      <c r="E988" s="21"/>
      <c r="F988" s="17"/>
      <c r="G988" s="17"/>
      <c r="H988" s="93"/>
    </row>
    <row r="989" spans="1:8" x14ac:dyDescent="0.35">
      <c r="A989" s="21"/>
      <c r="B989" s="21"/>
      <c r="C989" s="17"/>
      <c r="D989" s="21"/>
      <c r="E989" s="21"/>
      <c r="F989" s="17"/>
      <c r="G989" s="17"/>
      <c r="H989" s="93"/>
    </row>
    <row r="990" spans="1:8" x14ac:dyDescent="0.35">
      <c r="A990" s="21"/>
      <c r="B990" s="21"/>
      <c r="C990" s="17"/>
      <c r="D990" s="21"/>
      <c r="E990" s="21"/>
      <c r="F990" s="17"/>
      <c r="G990" s="17"/>
      <c r="H990" s="93"/>
    </row>
    <row r="991" spans="1:8" x14ac:dyDescent="0.35">
      <c r="A991" s="21"/>
      <c r="B991" s="21"/>
      <c r="C991" s="17"/>
      <c r="D991" s="21"/>
      <c r="E991" s="21"/>
      <c r="F991" s="17"/>
      <c r="G991" s="17"/>
      <c r="H991" s="93"/>
    </row>
    <row r="992" spans="1:8" x14ac:dyDescent="0.35">
      <c r="A992" s="21"/>
      <c r="B992" s="21"/>
      <c r="C992" s="17"/>
      <c r="D992" s="21"/>
      <c r="E992" s="21"/>
      <c r="F992" s="17"/>
      <c r="G992" s="17"/>
      <c r="H992" s="93"/>
    </row>
    <row r="993" spans="1:8" x14ac:dyDescent="0.35">
      <c r="A993" s="21"/>
      <c r="B993" s="21"/>
      <c r="C993" s="17"/>
      <c r="D993" s="21"/>
      <c r="E993" s="21"/>
      <c r="F993" s="17"/>
      <c r="G993" s="17"/>
      <c r="H993" s="93"/>
    </row>
    <row r="994" spans="1:8" x14ac:dyDescent="0.35">
      <c r="A994" s="21"/>
      <c r="B994" s="21"/>
      <c r="C994" s="17"/>
      <c r="D994" s="21"/>
      <c r="E994" s="21"/>
      <c r="F994" s="17"/>
      <c r="G994" s="17"/>
      <c r="H994" s="93"/>
    </row>
    <row r="995" spans="1:8" x14ac:dyDescent="0.35">
      <c r="A995" s="21"/>
      <c r="B995" s="21"/>
      <c r="C995" s="17"/>
      <c r="D995" s="21"/>
      <c r="E995" s="21"/>
      <c r="F995" s="17"/>
      <c r="G995" s="17"/>
      <c r="H995" s="93"/>
    </row>
    <row r="996" spans="1:8" x14ac:dyDescent="0.35">
      <c r="A996" s="21"/>
      <c r="B996" s="21"/>
      <c r="C996" s="17"/>
      <c r="D996" s="21"/>
      <c r="E996" s="21"/>
      <c r="F996" s="17"/>
      <c r="G996" s="17"/>
      <c r="H996" s="93"/>
    </row>
    <row r="997" spans="1:8" x14ac:dyDescent="0.35">
      <c r="A997" s="21"/>
      <c r="B997" s="21"/>
      <c r="C997" s="17"/>
      <c r="D997" s="21"/>
      <c r="E997" s="21"/>
      <c r="F997" s="17"/>
      <c r="G997" s="17"/>
      <c r="H997" s="93"/>
    </row>
    <row r="998" spans="1:8" x14ac:dyDescent="0.35">
      <c r="A998" s="21"/>
      <c r="B998" s="21"/>
      <c r="C998" s="17"/>
      <c r="D998" s="21"/>
      <c r="E998" s="21"/>
      <c r="F998" s="17"/>
      <c r="G998" s="17"/>
      <c r="H998" s="93"/>
    </row>
    <row r="999" spans="1:8" x14ac:dyDescent="0.35">
      <c r="A999" s="21"/>
      <c r="B999" s="21"/>
      <c r="C999" s="17"/>
      <c r="D999" s="21"/>
      <c r="E999" s="21"/>
      <c r="F999" s="17"/>
      <c r="G999" s="17"/>
      <c r="H999" s="93"/>
    </row>
    <row r="1000" spans="1:8" x14ac:dyDescent="0.35">
      <c r="A1000" s="21"/>
      <c r="B1000" s="21"/>
      <c r="C1000" s="17"/>
      <c r="D1000" s="21"/>
      <c r="E1000" s="21"/>
      <c r="F1000" s="17"/>
      <c r="G1000" s="17"/>
      <c r="H1000" s="93"/>
    </row>
    <row r="1001" spans="1:8" x14ac:dyDescent="0.35">
      <c r="A1001" s="21"/>
      <c r="B1001" s="21"/>
      <c r="C1001" s="17"/>
      <c r="D1001" s="21"/>
      <c r="E1001" s="21"/>
      <c r="F1001" s="17"/>
      <c r="G1001" s="17"/>
      <c r="H1001" s="93"/>
    </row>
    <row r="1002" spans="1:8" x14ac:dyDescent="0.35">
      <c r="A1002" s="21"/>
      <c r="B1002" s="21"/>
      <c r="C1002" s="17"/>
      <c r="D1002" s="21"/>
      <c r="E1002" s="21"/>
      <c r="F1002" s="17"/>
      <c r="G1002" s="17"/>
      <c r="H1002" s="93"/>
    </row>
    <row r="1003" spans="1:8" x14ac:dyDescent="0.35">
      <c r="A1003" s="21"/>
      <c r="B1003" s="21"/>
      <c r="C1003" s="17"/>
      <c r="D1003" s="21"/>
      <c r="E1003" s="21"/>
      <c r="F1003" s="17"/>
      <c r="G1003" s="17"/>
      <c r="H1003" s="93"/>
    </row>
    <row r="1004" spans="1:8" x14ac:dyDescent="0.35">
      <c r="A1004" s="21"/>
      <c r="B1004" s="21"/>
      <c r="C1004" s="17"/>
      <c r="D1004" s="21"/>
      <c r="E1004" s="21"/>
      <c r="F1004" s="17"/>
      <c r="G1004" s="17"/>
      <c r="H1004" s="93"/>
    </row>
    <row r="1005" spans="1:8" x14ac:dyDescent="0.35">
      <c r="A1005" s="21"/>
      <c r="B1005" s="21"/>
      <c r="C1005" s="17"/>
      <c r="D1005" s="21"/>
      <c r="E1005" s="21"/>
      <c r="F1005" s="17"/>
      <c r="G1005" s="17"/>
      <c r="H1005" s="93"/>
    </row>
    <row r="1006" spans="1:8" x14ac:dyDescent="0.35">
      <c r="A1006" s="21"/>
      <c r="B1006" s="21"/>
      <c r="C1006" s="17"/>
      <c r="D1006" s="21"/>
      <c r="E1006" s="21"/>
      <c r="F1006" s="17"/>
      <c r="G1006" s="17"/>
      <c r="H1006" s="93"/>
    </row>
    <row r="1007" spans="1:8" x14ac:dyDescent="0.35">
      <c r="A1007" s="21"/>
      <c r="B1007" s="21"/>
      <c r="C1007" s="17"/>
      <c r="D1007" s="21"/>
      <c r="E1007" s="21"/>
      <c r="F1007" s="17"/>
      <c r="G1007" s="17"/>
      <c r="H1007" s="93"/>
    </row>
    <row r="1008" spans="1:8" x14ac:dyDescent="0.35">
      <c r="A1008" s="21"/>
      <c r="B1008" s="21"/>
      <c r="C1008" s="17"/>
      <c r="D1008" s="21"/>
      <c r="E1008" s="21"/>
      <c r="F1008" s="17"/>
      <c r="G1008" s="17"/>
      <c r="H1008" s="93"/>
    </row>
    <row r="1009" spans="1:8" x14ac:dyDescent="0.35">
      <c r="A1009" s="21"/>
      <c r="B1009" s="21"/>
      <c r="C1009" s="17"/>
      <c r="D1009" s="21"/>
      <c r="E1009" s="21"/>
      <c r="F1009" s="17"/>
      <c r="G1009" s="17"/>
      <c r="H1009" s="93"/>
    </row>
    <row r="1010" spans="1:8" x14ac:dyDescent="0.35">
      <c r="A1010" s="21"/>
      <c r="B1010" s="21"/>
      <c r="C1010" s="17"/>
      <c r="D1010" s="21"/>
      <c r="E1010" s="21"/>
      <c r="F1010" s="17"/>
      <c r="G1010" s="17"/>
      <c r="H1010" s="93"/>
    </row>
    <row r="1011" spans="1:8" x14ac:dyDescent="0.35">
      <c r="A1011" s="21"/>
      <c r="B1011" s="21"/>
      <c r="C1011" s="17"/>
      <c r="D1011" s="21"/>
      <c r="E1011" s="21"/>
      <c r="F1011" s="17"/>
      <c r="G1011" s="17"/>
      <c r="H1011" s="93"/>
    </row>
    <row r="1012" spans="1:8" x14ac:dyDescent="0.35">
      <c r="A1012" s="21"/>
      <c r="B1012" s="21"/>
      <c r="C1012" s="17"/>
      <c r="D1012" s="21"/>
      <c r="E1012" s="21"/>
      <c r="F1012" s="17"/>
      <c r="G1012" s="17"/>
      <c r="H1012" s="93"/>
    </row>
    <row r="1013" spans="1:8" x14ac:dyDescent="0.35">
      <c r="A1013" s="21"/>
      <c r="B1013" s="21"/>
      <c r="C1013" s="17"/>
      <c r="D1013" s="21"/>
      <c r="E1013" s="21"/>
      <c r="F1013" s="17"/>
      <c r="G1013" s="17"/>
      <c r="H1013" s="93"/>
    </row>
    <row r="1014" spans="1:8" x14ac:dyDescent="0.35">
      <c r="A1014" s="21"/>
      <c r="B1014" s="21"/>
      <c r="C1014" s="17"/>
      <c r="D1014" s="21"/>
      <c r="E1014" s="21"/>
      <c r="F1014" s="17"/>
      <c r="G1014" s="17"/>
      <c r="H1014" s="93"/>
    </row>
    <row r="1015" spans="1:8" x14ac:dyDescent="0.35">
      <c r="A1015" s="21"/>
      <c r="B1015" s="21"/>
      <c r="C1015" s="17"/>
      <c r="D1015" s="21"/>
      <c r="E1015" s="21"/>
      <c r="F1015" s="17"/>
      <c r="G1015" s="17"/>
      <c r="H1015" s="93"/>
    </row>
    <row r="1016" spans="1:8" x14ac:dyDescent="0.35">
      <c r="A1016" s="21"/>
      <c r="B1016" s="21"/>
      <c r="C1016" s="17"/>
      <c r="D1016" s="21"/>
      <c r="E1016" s="21"/>
      <c r="F1016" s="17"/>
      <c r="G1016" s="17"/>
      <c r="H1016" s="93"/>
    </row>
    <row r="1017" spans="1:8" x14ac:dyDescent="0.35">
      <c r="A1017" s="21"/>
      <c r="B1017" s="21"/>
      <c r="C1017" s="17"/>
      <c r="D1017" s="21"/>
      <c r="E1017" s="21"/>
      <c r="F1017" s="17"/>
      <c r="G1017" s="17"/>
      <c r="H1017" s="93"/>
    </row>
    <row r="1018" spans="1:8" x14ac:dyDescent="0.35">
      <c r="A1018" s="21"/>
      <c r="B1018" s="21"/>
      <c r="C1018" s="17"/>
      <c r="D1018" s="21"/>
      <c r="E1018" s="21"/>
      <c r="F1018" s="17"/>
      <c r="G1018" s="17"/>
      <c r="H1018" s="93"/>
    </row>
    <row r="1019" spans="1:8" x14ac:dyDescent="0.35">
      <c r="A1019" s="21"/>
      <c r="B1019" s="21"/>
      <c r="C1019" s="17"/>
      <c r="D1019" s="21"/>
      <c r="E1019" s="21"/>
      <c r="F1019" s="17"/>
      <c r="G1019" s="17"/>
      <c r="H1019" s="93"/>
    </row>
    <row r="1020" spans="1:8" x14ac:dyDescent="0.35">
      <c r="A1020" s="21"/>
      <c r="B1020" s="21"/>
      <c r="C1020" s="17"/>
      <c r="D1020" s="21"/>
      <c r="E1020" s="21"/>
      <c r="F1020" s="17"/>
      <c r="G1020" s="17"/>
      <c r="H1020" s="93"/>
    </row>
    <row r="1021" spans="1:8" x14ac:dyDescent="0.35">
      <c r="A1021" s="21"/>
      <c r="B1021" s="21"/>
      <c r="C1021" s="17"/>
      <c r="D1021" s="21"/>
      <c r="E1021" s="21"/>
      <c r="F1021" s="17"/>
      <c r="G1021" s="17"/>
      <c r="H1021" s="93"/>
    </row>
    <row r="1022" spans="1:8" x14ac:dyDescent="0.35">
      <c r="A1022" s="21"/>
      <c r="B1022" s="21"/>
      <c r="C1022" s="17"/>
      <c r="D1022" s="21"/>
      <c r="E1022" s="21"/>
      <c r="F1022" s="17"/>
      <c r="G1022" s="17"/>
      <c r="H1022" s="93"/>
    </row>
    <row r="1023" spans="1:8" x14ac:dyDescent="0.35">
      <c r="A1023" s="21"/>
      <c r="B1023" s="21"/>
      <c r="C1023" s="17"/>
      <c r="D1023" s="21"/>
      <c r="E1023" s="21"/>
      <c r="F1023" s="17"/>
      <c r="G1023" s="17"/>
      <c r="H1023" s="93"/>
    </row>
    <row r="1024" spans="1:8" x14ac:dyDescent="0.35">
      <c r="A1024" s="21"/>
      <c r="B1024" s="21"/>
      <c r="C1024" s="17"/>
      <c r="D1024" s="21"/>
      <c r="E1024" s="21"/>
      <c r="F1024" s="17"/>
      <c r="G1024" s="17"/>
      <c r="H1024" s="93"/>
    </row>
    <row r="1025" spans="1:8" x14ac:dyDescent="0.35">
      <c r="A1025" s="21"/>
      <c r="B1025" s="21"/>
      <c r="C1025" s="17"/>
      <c r="D1025" s="21"/>
      <c r="E1025" s="21"/>
      <c r="F1025" s="17"/>
      <c r="G1025" s="17"/>
      <c r="H1025" s="93"/>
    </row>
    <row r="1026" spans="1:8" x14ac:dyDescent="0.35">
      <c r="A1026" s="21"/>
      <c r="B1026" s="21"/>
      <c r="C1026" s="17"/>
      <c r="D1026" s="21"/>
      <c r="E1026" s="21"/>
      <c r="F1026" s="17"/>
      <c r="G1026" s="17"/>
      <c r="H1026" s="93"/>
    </row>
    <row r="1027" spans="1:8" x14ac:dyDescent="0.35">
      <c r="A1027" s="21"/>
      <c r="B1027" s="21"/>
      <c r="C1027" s="17"/>
      <c r="D1027" s="21"/>
      <c r="E1027" s="21"/>
      <c r="F1027" s="17"/>
      <c r="G1027" s="17"/>
      <c r="H1027" s="93"/>
    </row>
    <row r="1028" spans="1:8" x14ac:dyDescent="0.35">
      <c r="A1028" s="21"/>
      <c r="B1028" s="21"/>
      <c r="C1028" s="17"/>
      <c r="D1028" s="21"/>
      <c r="E1028" s="21"/>
      <c r="F1028" s="17"/>
      <c r="G1028" s="17"/>
      <c r="H1028" s="93"/>
    </row>
    <row r="1029" spans="1:8" x14ac:dyDescent="0.35">
      <c r="A1029" s="21"/>
      <c r="B1029" s="21"/>
      <c r="C1029" s="17"/>
      <c r="D1029" s="21"/>
      <c r="E1029" s="21"/>
      <c r="F1029" s="17"/>
      <c r="G1029" s="17"/>
      <c r="H1029" s="93"/>
    </row>
    <row r="1030" spans="1:8" x14ac:dyDescent="0.35">
      <c r="A1030" s="21"/>
      <c r="B1030" s="21"/>
      <c r="C1030" s="17"/>
      <c r="D1030" s="21"/>
      <c r="E1030" s="21"/>
      <c r="F1030" s="17"/>
      <c r="G1030" s="17"/>
      <c r="H1030" s="93"/>
    </row>
    <row r="1031" spans="1:8" x14ac:dyDescent="0.35">
      <c r="A1031" s="21"/>
      <c r="B1031" s="21"/>
      <c r="C1031" s="17"/>
      <c r="D1031" s="21"/>
      <c r="E1031" s="21"/>
      <c r="F1031" s="17"/>
      <c r="G1031" s="17"/>
      <c r="H1031" s="93"/>
    </row>
    <row r="1032" spans="1:8" x14ac:dyDescent="0.35">
      <c r="A1032" s="21"/>
      <c r="B1032" s="21"/>
      <c r="C1032" s="17"/>
      <c r="D1032" s="21"/>
      <c r="E1032" s="21"/>
      <c r="F1032" s="17"/>
      <c r="G1032" s="17"/>
      <c r="H1032" s="93"/>
    </row>
    <row r="1033" spans="1:8" x14ac:dyDescent="0.35">
      <c r="A1033" s="21"/>
      <c r="B1033" s="21"/>
      <c r="C1033" s="17"/>
      <c r="D1033" s="21"/>
      <c r="E1033" s="21"/>
      <c r="F1033" s="17"/>
      <c r="G1033" s="17"/>
      <c r="H1033" s="93"/>
    </row>
    <row r="1034" spans="1:8" x14ac:dyDescent="0.35">
      <c r="A1034" s="21"/>
      <c r="B1034" s="21"/>
      <c r="C1034" s="17"/>
      <c r="D1034" s="21"/>
      <c r="E1034" s="21"/>
      <c r="F1034" s="17"/>
      <c r="G1034" s="17"/>
      <c r="H1034" s="93"/>
    </row>
    <row r="1035" spans="1:8" x14ac:dyDescent="0.35">
      <c r="A1035" s="21"/>
      <c r="B1035" s="21"/>
      <c r="C1035" s="17"/>
      <c r="D1035" s="21"/>
      <c r="E1035" s="21"/>
      <c r="F1035" s="17"/>
      <c r="G1035" s="17"/>
      <c r="H1035" s="93"/>
    </row>
    <row r="1036" spans="1:8" x14ac:dyDescent="0.35">
      <c r="A1036" s="21"/>
      <c r="B1036" s="21"/>
      <c r="C1036" s="17"/>
      <c r="D1036" s="21"/>
      <c r="E1036" s="21"/>
      <c r="F1036" s="17"/>
      <c r="G1036" s="17"/>
      <c r="H1036" s="93"/>
    </row>
    <row r="1037" spans="1:8" x14ac:dyDescent="0.35">
      <c r="A1037" s="21"/>
      <c r="B1037" s="21"/>
      <c r="C1037" s="17"/>
      <c r="D1037" s="21"/>
      <c r="E1037" s="21"/>
      <c r="F1037" s="17"/>
      <c r="G1037" s="17"/>
      <c r="H1037" s="93"/>
    </row>
    <row r="1038" spans="1:8" x14ac:dyDescent="0.35">
      <c r="A1038" s="21"/>
      <c r="B1038" s="21"/>
      <c r="C1038" s="17"/>
      <c r="D1038" s="21"/>
      <c r="E1038" s="21"/>
      <c r="F1038" s="17"/>
      <c r="G1038" s="17"/>
      <c r="H1038" s="93"/>
    </row>
    <row r="1039" spans="1:8" x14ac:dyDescent="0.35">
      <c r="A1039" s="21"/>
      <c r="B1039" s="21"/>
      <c r="C1039" s="17"/>
      <c r="D1039" s="21"/>
      <c r="E1039" s="21"/>
      <c r="F1039" s="17"/>
      <c r="G1039" s="17"/>
      <c r="H1039" s="93"/>
    </row>
    <row r="1040" spans="1:8" x14ac:dyDescent="0.35">
      <c r="A1040" s="21"/>
      <c r="B1040" s="21"/>
      <c r="C1040" s="17"/>
      <c r="D1040" s="21"/>
      <c r="E1040" s="21"/>
      <c r="F1040" s="17"/>
      <c r="G1040" s="17"/>
      <c r="H1040" s="93"/>
    </row>
    <row r="1041" spans="1:8" x14ac:dyDescent="0.35">
      <c r="A1041" s="21"/>
      <c r="B1041" s="21"/>
      <c r="C1041" s="17"/>
      <c r="D1041" s="21"/>
      <c r="E1041" s="21"/>
      <c r="F1041" s="17"/>
      <c r="G1041" s="17"/>
      <c r="H1041" s="93"/>
    </row>
    <row r="1042" spans="1:8" x14ac:dyDescent="0.35">
      <c r="A1042" s="21"/>
      <c r="B1042" s="21"/>
      <c r="C1042" s="17"/>
      <c r="D1042" s="21"/>
      <c r="E1042" s="21"/>
      <c r="F1042" s="17"/>
      <c r="G1042" s="17"/>
      <c r="H1042" s="93"/>
    </row>
    <row r="1043" spans="1:8" x14ac:dyDescent="0.35">
      <c r="A1043" s="21"/>
      <c r="B1043" s="21"/>
      <c r="C1043" s="17"/>
      <c r="D1043" s="21"/>
      <c r="E1043" s="21"/>
      <c r="F1043" s="17"/>
      <c r="G1043" s="17"/>
      <c r="H1043" s="93"/>
    </row>
    <row r="1044" spans="1:8" x14ac:dyDescent="0.35">
      <c r="A1044" s="21"/>
      <c r="B1044" s="21"/>
      <c r="C1044" s="17"/>
      <c r="D1044" s="21"/>
      <c r="E1044" s="21"/>
      <c r="F1044" s="17"/>
      <c r="G1044" s="17"/>
      <c r="H1044" s="93"/>
    </row>
    <row r="1045" spans="1:8" x14ac:dyDescent="0.35">
      <c r="A1045" s="21"/>
      <c r="B1045" s="21"/>
      <c r="C1045" s="17"/>
      <c r="D1045" s="21"/>
      <c r="E1045" s="21"/>
      <c r="F1045" s="17"/>
      <c r="G1045" s="17"/>
      <c r="H1045" s="93"/>
    </row>
    <row r="1046" spans="1:8" x14ac:dyDescent="0.35">
      <c r="A1046" s="21"/>
      <c r="B1046" s="21"/>
      <c r="C1046" s="17"/>
      <c r="D1046" s="21"/>
      <c r="E1046" s="21"/>
      <c r="F1046" s="17"/>
      <c r="G1046" s="17"/>
      <c r="H1046" s="93"/>
    </row>
    <row r="1047" spans="1:8" x14ac:dyDescent="0.35">
      <c r="A1047" s="21"/>
      <c r="B1047" s="21"/>
      <c r="C1047" s="17"/>
      <c r="D1047" s="21"/>
      <c r="E1047" s="21"/>
      <c r="F1047" s="17"/>
      <c r="G1047" s="17"/>
      <c r="H1047" s="93"/>
    </row>
    <row r="1048" spans="1:8" x14ac:dyDescent="0.35">
      <c r="A1048" s="21"/>
      <c r="B1048" s="21"/>
      <c r="C1048" s="17"/>
      <c r="D1048" s="21"/>
      <c r="E1048" s="21"/>
      <c r="F1048" s="17"/>
      <c r="G1048" s="17"/>
      <c r="H1048" s="93"/>
    </row>
    <row r="1049" spans="1:8" x14ac:dyDescent="0.35">
      <c r="A1049" s="21"/>
      <c r="B1049" s="21"/>
      <c r="C1049" s="17"/>
      <c r="D1049" s="21"/>
      <c r="E1049" s="21"/>
      <c r="F1049" s="17"/>
      <c r="G1049" s="17"/>
      <c r="H1049" s="93"/>
    </row>
    <row r="1050" spans="1:8" x14ac:dyDescent="0.35">
      <c r="A1050" s="21"/>
      <c r="B1050" s="21"/>
      <c r="C1050" s="17"/>
      <c r="D1050" s="21"/>
      <c r="E1050" s="21"/>
      <c r="F1050" s="17"/>
      <c r="G1050" s="17"/>
      <c r="H1050" s="93"/>
    </row>
    <row r="1051" spans="1:8" x14ac:dyDescent="0.35">
      <c r="A1051" s="21"/>
      <c r="B1051" s="21"/>
      <c r="C1051" s="17"/>
      <c r="D1051" s="21"/>
      <c r="E1051" s="21"/>
      <c r="F1051" s="17"/>
      <c r="G1051" s="17"/>
      <c r="H1051" s="93"/>
    </row>
    <row r="1052" spans="1:8" x14ac:dyDescent="0.35">
      <c r="A1052" s="21"/>
      <c r="B1052" s="21"/>
      <c r="C1052" s="17"/>
      <c r="D1052" s="21"/>
      <c r="E1052" s="21"/>
      <c r="F1052" s="17"/>
      <c r="G1052" s="17"/>
      <c r="H1052" s="93"/>
    </row>
    <row r="1053" spans="1:8" x14ac:dyDescent="0.35">
      <c r="A1053" s="21"/>
      <c r="B1053" s="21"/>
      <c r="C1053" s="17"/>
      <c r="D1053" s="21"/>
      <c r="E1053" s="21"/>
      <c r="F1053" s="17"/>
      <c r="G1053" s="17"/>
      <c r="H1053" s="93"/>
    </row>
    <row r="1054" spans="1:8" x14ac:dyDescent="0.35">
      <c r="A1054" s="21"/>
      <c r="B1054" s="21"/>
      <c r="C1054" s="17"/>
      <c r="D1054" s="21"/>
      <c r="E1054" s="21"/>
      <c r="F1054" s="17"/>
      <c r="G1054" s="17"/>
      <c r="H1054" s="93"/>
    </row>
    <row r="1055" spans="1:8" x14ac:dyDescent="0.35">
      <c r="A1055" s="21"/>
      <c r="B1055" s="21"/>
      <c r="C1055" s="17"/>
      <c r="D1055" s="21"/>
      <c r="E1055" s="21"/>
      <c r="F1055" s="17"/>
      <c r="G1055" s="17"/>
      <c r="H1055" s="93"/>
    </row>
    <row r="1056" spans="1:8" x14ac:dyDescent="0.35">
      <c r="A1056" s="21"/>
      <c r="B1056" s="21"/>
      <c r="C1056" s="17"/>
      <c r="D1056" s="21"/>
      <c r="E1056" s="21"/>
      <c r="F1056" s="17"/>
      <c r="G1056" s="17"/>
      <c r="H1056" s="93"/>
    </row>
    <row r="1057" spans="1:8" x14ac:dyDescent="0.35">
      <c r="A1057" s="21"/>
      <c r="B1057" s="21"/>
      <c r="C1057" s="17"/>
      <c r="D1057" s="21"/>
      <c r="E1057" s="21"/>
      <c r="F1057" s="17"/>
      <c r="G1057" s="17"/>
      <c r="H1057" s="93"/>
    </row>
    <row r="1058" spans="1:8" x14ac:dyDescent="0.35">
      <c r="A1058" s="21"/>
      <c r="B1058" s="21"/>
      <c r="C1058" s="17"/>
      <c r="D1058" s="21"/>
      <c r="E1058" s="21"/>
      <c r="F1058" s="17"/>
      <c r="G1058" s="17"/>
      <c r="H1058" s="93"/>
    </row>
    <row r="1059" spans="1:8" x14ac:dyDescent="0.35">
      <c r="A1059" s="21"/>
      <c r="B1059" s="21"/>
      <c r="C1059" s="17"/>
      <c r="D1059" s="21"/>
      <c r="E1059" s="21"/>
      <c r="F1059" s="17"/>
      <c r="G1059" s="17"/>
      <c r="H1059" s="93"/>
    </row>
    <row r="1060" spans="1:8" x14ac:dyDescent="0.35">
      <c r="A1060" s="21"/>
      <c r="B1060" s="21"/>
      <c r="C1060" s="17"/>
      <c r="D1060" s="21"/>
      <c r="E1060" s="21"/>
      <c r="F1060" s="17"/>
      <c r="G1060" s="17"/>
      <c r="H1060" s="93"/>
    </row>
    <row r="1061" spans="1:8" x14ac:dyDescent="0.35">
      <c r="A1061" s="21"/>
      <c r="B1061" s="21"/>
      <c r="C1061" s="17"/>
      <c r="D1061" s="21"/>
      <c r="E1061" s="21"/>
      <c r="F1061" s="17"/>
      <c r="G1061" s="17"/>
      <c r="H1061" s="93"/>
    </row>
    <row r="1062" spans="1:8" x14ac:dyDescent="0.35">
      <c r="A1062" s="21"/>
      <c r="B1062" s="21"/>
      <c r="C1062" s="17"/>
      <c r="D1062" s="21"/>
      <c r="E1062" s="21"/>
      <c r="F1062" s="17"/>
      <c r="G1062" s="17"/>
      <c r="H1062" s="93"/>
    </row>
    <row r="1063" spans="1:8" x14ac:dyDescent="0.35">
      <c r="A1063" s="21"/>
      <c r="B1063" s="21"/>
      <c r="C1063" s="17"/>
      <c r="D1063" s="21"/>
      <c r="E1063" s="21"/>
      <c r="F1063" s="17"/>
      <c r="G1063" s="17"/>
      <c r="H1063" s="93"/>
    </row>
    <row r="1064" spans="1:8" x14ac:dyDescent="0.35">
      <c r="A1064" s="21"/>
      <c r="B1064" s="21"/>
      <c r="C1064" s="17"/>
      <c r="D1064" s="21"/>
      <c r="E1064" s="21"/>
      <c r="F1064" s="17"/>
      <c r="G1064" s="17"/>
      <c r="H1064" s="93"/>
    </row>
    <row r="1065" spans="1:8" x14ac:dyDescent="0.35">
      <c r="A1065" s="21"/>
      <c r="B1065" s="21"/>
      <c r="C1065" s="17"/>
      <c r="D1065" s="21"/>
      <c r="E1065" s="21"/>
      <c r="F1065" s="17"/>
      <c r="G1065" s="17"/>
      <c r="H1065" s="93"/>
    </row>
    <row r="1066" spans="1:8" x14ac:dyDescent="0.35">
      <c r="A1066" s="21"/>
      <c r="B1066" s="21"/>
      <c r="C1066" s="17"/>
      <c r="D1066" s="21"/>
      <c r="E1066" s="21"/>
      <c r="F1066" s="17"/>
      <c r="G1066" s="17"/>
      <c r="H1066" s="93"/>
    </row>
    <row r="1067" spans="1:8" x14ac:dyDescent="0.35">
      <c r="A1067" s="21"/>
      <c r="B1067" s="21"/>
      <c r="C1067" s="17"/>
      <c r="D1067" s="21"/>
      <c r="E1067" s="21"/>
      <c r="F1067" s="17"/>
      <c r="G1067" s="17"/>
      <c r="H1067" s="93"/>
    </row>
    <row r="1068" spans="1:8" x14ac:dyDescent="0.35">
      <c r="A1068" s="21"/>
      <c r="B1068" s="21"/>
      <c r="C1068" s="17"/>
      <c r="D1068" s="21"/>
      <c r="E1068" s="21"/>
      <c r="F1068" s="17"/>
      <c r="G1068" s="17"/>
      <c r="H1068" s="93"/>
    </row>
    <row r="1069" spans="1:8" x14ac:dyDescent="0.35">
      <c r="A1069" s="21"/>
      <c r="B1069" s="21"/>
      <c r="C1069" s="17"/>
      <c r="D1069" s="21"/>
      <c r="E1069" s="21"/>
      <c r="F1069" s="17"/>
      <c r="G1069" s="17"/>
      <c r="H1069" s="93"/>
    </row>
    <row r="1070" spans="1:8" x14ac:dyDescent="0.35">
      <c r="A1070" s="21"/>
      <c r="B1070" s="21"/>
      <c r="C1070" s="17"/>
      <c r="D1070" s="21"/>
      <c r="E1070" s="21"/>
      <c r="F1070" s="17"/>
      <c r="G1070" s="17"/>
      <c r="H1070" s="93"/>
    </row>
    <row r="1071" spans="1:8" x14ac:dyDescent="0.35">
      <c r="A1071" s="21"/>
      <c r="B1071" s="21"/>
      <c r="C1071" s="17"/>
      <c r="D1071" s="21"/>
      <c r="E1071" s="21"/>
      <c r="F1071" s="17"/>
      <c r="G1071" s="17"/>
      <c r="H1071" s="93"/>
    </row>
    <row r="1072" spans="1:8" x14ac:dyDescent="0.35">
      <c r="A1072" s="21"/>
      <c r="B1072" s="21"/>
      <c r="C1072" s="17"/>
      <c r="D1072" s="21"/>
      <c r="E1072" s="21"/>
      <c r="F1072" s="17"/>
      <c r="G1072" s="17"/>
      <c r="H1072" s="93"/>
    </row>
    <row r="1073" spans="1:8" x14ac:dyDescent="0.35">
      <c r="A1073" s="21"/>
      <c r="B1073" s="21"/>
      <c r="C1073" s="17"/>
      <c r="D1073" s="21"/>
      <c r="E1073" s="21"/>
      <c r="F1073" s="17"/>
      <c r="G1073" s="17"/>
      <c r="H1073" s="93"/>
    </row>
    <row r="1074" spans="1:8" x14ac:dyDescent="0.35">
      <c r="A1074" s="21"/>
      <c r="B1074" s="21"/>
      <c r="C1074" s="17"/>
      <c r="D1074" s="21"/>
      <c r="E1074" s="21"/>
      <c r="F1074" s="17"/>
      <c r="G1074" s="17"/>
      <c r="H1074" s="93"/>
    </row>
    <row r="1075" spans="1:8" x14ac:dyDescent="0.35">
      <c r="A1075" s="21"/>
      <c r="B1075" s="21"/>
      <c r="C1075" s="17"/>
      <c r="D1075" s="21"/>
      <c r="E1075" s="21"/>
      <c r="F1075" s="17"/>
      <c r="G1075" s="17"/>
      <c r="H1075" s="93"/>
    </row>
    <row r="1076" spans="1:8" x14ac:dyDescent="0.35">
      <c r="A1076" s="21"/>
      <c r="B1076" s="21"/>
      <c r="C1076" s="17"/>
      <c r="D1076" s="21"/>
      <c r="E1076" s="21"/>
      <c r="F1076" s="17"/>
      <c r="G1076" s="17"/>
      <c r="H1076" s="93"/>
    </row>
    <row r="1077" spans="1:8" x14ac:dyDescent="0.35">
      <c r="A1077" s="21"/>
      <c r="B1077" s="21"/>
      <c r="C1077" s="17"/>
      <c r="D1077" s="21"/>
      <c r="E1077" s="21"/>
      <c r="F1077" s="17"/>
      <c r="G1077" s="17"/>
      <c r="H1077" s="93"/>
    </row>
    <row r="1078" spans="1:8" x14ac:dyDescent="0.35">
      <c r="A1078" s="21"/>
      <c r="B1078" s="21"/>
      <c r="C1078" s="17"/>
      <c r="D1078" s="21"/>
      <c r="E1078" s="21"/>
      <c r="F1078" s="17"/>
      <c r="G1078" s="17"/>
      <c r="H1078" s="93"/>
    </row>
    <row r="1079" spans="1:8" x14ac:dyDescent="0.35">
      <c r="A1079" s="21"/>
      <c r="B1079" s="21"/>
      <c r="C1079" s="17"/>
      <c r="D1079" s="21"/>
      <c r="E1079" s="21"/>
      <c r="F1079" s="17"/>
      <c r="G1079" s="17"/>
      <c r="H1079" s="93"/>
    </row>
    <row r="1080" spans="1:8" x14ac:dyDescent="0.35">
      <c r="A1080" s="21"/>
      <c r="B1080" s="21"/>
      <c r="C1080" s="17"/>
      <c r="D1080" s="21"/>
      <c r="E1080" s="21"/>
      <c r="F1080" s="17"/>
      <c r="G1080" s="17"/>
      <c r="H1080" s="93"/>
    </row>
    <row r="1081" spans="1:8" x14ac:dyDescent="0.35">
      <c r="A1081" s="21"/>
      <c r="B1081" s="21"/>
      <c r="C1081" s="17"/>
      <c r="D1081" s="21"/>
      <c r="E1081" s="21"/>
      <c r="F1081" s="17"/>
      <c r="G1081" s="17"/>
      <c r="H1081" s="93"/>
    </row>
    <row r="1082" spans="1:8" x14ac:dyDescent="0.35">
      <c r="A1082" s="21"/>
      <c r="B1082" s="21"/>
      <c r="C1082" s="17"/>
      <c r="D1082" s="21"/>
      <c r="E1082" s="21"/>
      <c r="F1082" s="17"/>
      <c r="G1082" s="17"/>
      <c r="H1082" s="93"/>
    </row>
    <row r="1083" spans="1:8" x14ac:dyDescent="0.35">
      <c r="A1083" s="21"/>
      <c r="B1083" s="21"/>
      <c r="C1083" s="17"/>
      <c r="D1083" s="21"/>
      <c r="E1083" s="21"/>
      <c r="F1083" s="17"/>
      <c r="G1083" s="17"/>
      <c r="H1083" s="93"/>
    </row>
    <row r="1084" spans="1:8" x14ac:dyDescent="0.35">
      <c r="A1084" s="21"/>
      <c r="B1084" s="21"/>
      <c r="C1084" s="17"/>
      <c r="D1084" s="21"/>
      <c r="E1084" s="21"/>
      <c r="F1084" s="17"/>
      <c r="G1084" s="17"/>
      <c r="H1084" s="93"/>
    </row>
    <row r="1085" spans="1:8" x14ac:dyDescent="0.35">
      <c r="A1085" s="21"/>
      <c r="B1085" s="21"/>
      <c r="C1085" s="17"/>
      <c r="D1085" s="21"/>
      <c r="E1085" s="21"/>
      <c r="F1085" s="17"/>
      <c r="G1085" s="17"/>
      <c r="H1085" s="93"/>
    </row>
    <row r="1086" spans="1:8" x14ac:dyDescent="0.35">
      <c r="A1086" s="21"/>
      <c r="B1086" s="21"/>
      <c r="C1086" s="17"/>
      <c r="D1086" s="21"/>
      <c r="E1086" s="21"/>
      <c r="F1086" s="17"/>
      <c r="G1086" s="17"/>
      <c r="H1086" s="93"/>
    </row>
    <row r="1087" spans="1:8" x14ac:dyDescent="0.35">
      <c r="A1087" s="21"/>
      <c r="B1087" s="21"/>
      <c r="C1087" s="17"/>
      <c r="D1087" s="21"/>
      <c r="E1087" s="21"/>
      <c r="F1087" s="17"/>
      <c r="G1087" s="17"/>
      <c r="H1087" s="93"/>
    </row>
    <row r="1088" spans="1:8" x14ac:dyDescent="0.35">
      <c r="A1088" s="21"/>
      <c r="B1088" s="21"/>
      <c r="C1088" s="17"/>
      <c r="D1088" s="21"/>
      <c r="E1088" s="21"/>
      <c r="F1088" s="17"/>
      <c r="G1088" s="17"/>
      <c r="H1088" s="93"/>
    </row>
    <row r="1089" spans="1:8" x14ac:dyDescent="0.35">
      <c r="A1089" s="21"/>
      <c r="B1089" s="21"/>
      <c r="C1089" s="17"/>
      <c r="D1089" s="21"/>
      <c r="E1089" s="21"/>
      <c r="F1089" s="17"/>
      <c r="G1089" s="17"/>
      <c r="H1089" s="93"/>
    </row>
    <row r="1090" spans="1:8" x14ac:dyDescent="0.35">
      <c r="A1090" s="21"/>
      <c r="B1090" s="21"/>
      <c r="C1090" s="17"/>
      <c r="D1090" s="21"/>
      <c r="E1090" s="21"/>
      <c r="F1090" s="17"/>
      <c r="G1090" s="17"/>
      <c r="H1090" s="93"/>
    </row>
    <row r="1091" spans="1:8" x14ac:dyDescent="0.35">
      <c r="A1091" s="21"/>
      <c r="B1091" s="21"/>
      <c r="C1091" s="17"/>
      <c r="D1091" s="21"/>
      <c r="E1091" s="21"/>
      <c r="F1091" s="17"/>
      <c r="G1091" s="17"/>
      <c r="H1091" s="93"/>
    </row>
    <row r="1092" spans="1:8" x14ac:dyDescent="0.35">
      <c r="A1092" s="21"/>
      <c r="B1092" s="21"/>
      <c r="C1092" s="17"/>
      <c r="D1092" s="21"/>
      <c r="E1092" s="21"/>
      <c r="F1092" s="17"/>
      <c r="G1092" s="17"/>
      <c r="H1092" s="93"/>
    </row>
    <row r="1093" spans="1:8" x14ac:dyDescent="0.35">
      <c r="A1093" s="21"/>
      <c r="B1093" s="21"/>
      <c r="C1093" s="17"/>
      <c r="D1093" s="21"/>
      <c r="E1093" s="21"/>
      <c r="F1093" s="17"/>
      <c r="G1093" s="17"/>
      <c r="H1093" s="93"/>
    </row>
    <row r="1094" spans="1:8" x14ac:dyDescent="0.35">
      <c r="A1094" s="21"/>
      <c r="B1094" s="21"/>
      <c r="C1094" s="17"/>
      <c r="D1094" s="21"/>
      <c r="E1094" s="21"/>
      <c r="F1094" s="17"/>
      <c r="G1094" s="17"/>
      <c r="H1094" s="93"/>
    </row>
    <row r="1095" spans="1:8" x14ac:dyDescent="0.35">
      <c r="A1095" s="21"/>
      <c r="B1095" s="21"/>
      <c r="C1095" s="17"/>
      <c r="D1095" s="21"/>
      <c r="E1095" s="21"/>
      <c r="F1095" s="17"/>
      <c r="G1095" s="17"/>
      <c r="H1095" s="93"/>
    </row>
    <row r="1096" spans="1:8" x14ac:dyDescent="0.35">
      <c r="A1096" s="21"/>
      <c r="B1096" s="21"/>
      <c r="C1096" s="17"/>
      <c r="D1096" s="21"/>
      <c r="E1096" s="21"/>
      <c r="F1096" s="17"/>
      <c r="G1096" s="17"/>
      <c r="H1096" s="93"/>
    </row>
    <row r="1097" spans="1:8" x14ac:dyDescent="0.35">
      <c r="A1097" s="21"/>
      <c r="B1097" s="21"/>
      <c r="C1097" s="17"/>
      <c r="D1097" s="21"/>
      <c r="E1097" s="21"/>
      <c r="F1097" s="17"/>
      <c r="G1097" s="17"/>
      <c r="H1097" s="93"/>
    </row>
    <row r="1098" spans="1:8" x14ac:dyDescent="0.35">
      <c r="A1098" s="21"/>
      <c r="B1098" s="21"/>
      <c r="C1098" s="17"/>
      <c r="D1098" s="21"/>
      <c r="E1098" s="21"/>
      <c r="F1098" s="17"/>
      <c r="G1098" s="17"/>
      <c r="H1098" s="93"/>
    </row>
    <row r="1099" spans="1:8" x14ac:dyDescent="0.35">
      <c r="A1099" s="21"/>
      <c r="B1099" s="21"/>
      <c r="C1099" s="17"/>
      <c r="D1099" s="21"/>
      <c r="E1099" s="21"/>
      <c r="F1099" s="17"/>
      <c r="G1099" s="17"/>
      <c r="H1099" s="93"/>
    </row>
    <row r="1100" spans="1:8" x14ac:dyDescent="0.35">
      <c r="A1100" s="21"/>
      <c r="B1100" s="21"/>
      <c r="C1100" s="17"/>
      <c r="D1100" s="21"/>
      <c r="E1100" s="21"/>
      <c r="F1100" s="17"/>
      <c r="G1100" s="17"/>
      <c r="H1100" s="93"/>
    </row>
    <row r="1101" spans="1:8" x14ac:dyDescent="0.35">
      <c r="A1101" s="21"/>
      <c r="B1101" s="21"/>
      <c r="C1101" s="17"/>
      <c r="D1101" s="21"/>
      <c r="E1101" s="21"/>
      <c r="F1101" s="17"/>
      <c r="G1101" s="17"/>
      <c r="H1101" s="93"/>
    </row>
    <row r="1102" spans="1:8" x14ac:dyDescent="0.35">
      <c r="A1102" s="21"/>
      <c r="B1102" s="21"/>
      <c r="C1102" s="17"/>
      <c r="D1102" s="21"/>
      <c r="E1102" s="21"/>
      <c r="F1102" s="17"/>
      <c r="G1102" s="17"/>
      <c r="H1102" s="93"/>
    </row>
    <row r="1103" spans="1:8" x14ac:dyDescent="0.35">
      <c r="A1103" s="21"/>
      <c r="B1103" s="21"/>
      <c r="C1103" s="17"/>
      <c r="D1103" s="21"/>
      <c r="E1103" s="21"/>
      <c r="F1103" s="17"/>
      <c r="G1103" s="17"/>
      <c r="H1103" s="93"/>
    </row>
    <row r="1104" spans="1:8" x14ac:dyDescent="0.35">
      <c r="A1104" s="21"/>
      <c r="B1104" s="21"/>
      <c r="C1104" s="17"/>
      <c r="D1104" s="21"/>
      <c r="E1104" s="21"/>
      <c r="F1104" s="17"/>
      <c r="G1104" s="17"/>
      <c r="H1104" s="93"/>
    </row>
    <row r="1105" spans="1:8" x14ac:dyDescent="0.35">
      <c r="A1105" s="21"/>
      <c r="B1105" s="21"/>
      <c r="C1105" s="17"/>
      <c r="D1105" s="21"/>
      <c r="E1105" s="21"/>
      <c r="F1105" s="17"/>
      <c r="G1105" s="17"/>
      <c r="H1105" s="93"/>
    </row>
    <row r="1106" spans="1:8" x14ac:dyDescent="0.35">
      <c r="A1106" s="21"/>
      <c r="B1106" s="21"/>
      <c r="C1106" s="17"/>
      <c r="D1106" s="21"/>
      <c r="E1106" s="21"/>
      <c r="F1106" s="17"/>
      <c r="G1106" s="17"/>
      <c r="H1106" s="93"/>
    </row>
    <row r="1107" spans="1:8" x14ac:dyDescent="0.35">
      <c r="A1107" s="21"/>
      <c r="B1107" s="21"/>
      <c r="C1107" s="17"/>
      <c r="D1107" s="21"/>
      <c r="E1107" s="21"/>
      <c r="F1107" s="17"/>
      <c r="G1107" s="17"/>
      <c r="H1107" s="93"/>
    </row>
    <row r="1108" spans="1:8" x14ac:dyDescent="0.35">
      <c r="A1108" s="21"/>
      <c r="B1108" s="21"/>
      <c r="C1108" s="17"/>
      <c r="D1108" s="21"/>
      <c r="E1108" s="21"/>
      <c r="F1108" s="17"/>
      <c r="G1108" s="17"/>
      <c r="H1108" s="93"/>
    </row>
    <row r="1109" spans="1:8" x14ac:dyDescent="0.35">
      <c r="A1109" s="21"/>
      <c r="B1109" s="21"/>
      <c r="C1109" s="17"/>
      <c r="D1109" s="21"/>
      <c r="E1109" s="21"/>
      <c r="F1109" s="17"/>
      <c r="G1109" s="17"/>
      <c r="H1109" s="93"/>
    </row>
    <row r="1110" spans="1:8" x14ac:dyDescent="0.35">
      <c r="A1110" s="21"/>
      <c r="B1110" s="21"/>
      <c r="C1110" s="17"/>
      <c r="D1110" s="21"/>
      <c r="E1110" s="21"/>
      <c r="F1110" s="17"/>
      <c r="G1110" s="17"/>
      <c r="H1110" s="93"/>
    </row>
    <row r="1111" spans="1:8" x14ac:dyDescent="0.35">
      <c r="A1111" s="21"/>
      <c r="B1111" s="21"/>
      <c r="C1111" s="17"/>
      <c r="D1111" s="21"/>
      <c r="E1111" s="21"/>
      <c r="F1111" s="17"/>
      <c r="G1111" s="17"/>
      <c r="H1111" s="93"/>
    </row>
    <row r="1112" spans="1:8" x14ac:dyDescent="0.35">
      <c r="A1112" s="21"/>
      <c r="B1112" s="21"/>
      <c r="C1112" s="17"/>
      <c r="D1112" s="21"/>
      <c r="E1112" s="21"/>
      <c r="F1112" s="17"/>
      <c r="G1112" s="17"/>
      <c r="H1112" s="93"/>
    </row>
    <row r="1113" spans="1:8" x14ac:dyDescent="0.35">
      <c r="A1113" s="21"/>
      <c r="B1113" s="21"/>
      <c r="C1113" s="17"/>
      <c r="D1113" s="21"/>
      <c r="E1113" s="21"/>
      <c r="F1113" s="17"/>
      <c r="G1113" s="17"/>
      <c r="H1113" s="93"/>
    </row>
    <row r="1114" spans="1:8" x14ac:dyDescent="0.35">
      <c r="A1114" s="21"/>
      <c r="B1114" s="21"/>
      <c r="C1114" s="17"/>
      <c r="D1114" s="21"/>
      <c r="E1114" s="21"/>
      <c r="F1114" s="17"/>
      <c r="G1114" s="17"/>
      <c r="H1114" s="93"/>
    </row>
    <row r="1115" spans="1:8" x14ac:dyDescent="0.35">
      <c r="A1115" s="21"/>
      <c r="B1115" s="21"/>
      <c r="C1115" s="17"/>
      <c r="D1115" s="21"/>
      <c r="E1115" s="21"/>
      <c r="F1115" s="17"/>
      <c r="G1115" s="17"/>
      <c r="H1115" s="93"/>
    </row>
    <row r="1116" spans="1:8" x14ac:dyDescent="0.35">
      <c r="A1116" s="21"/>
      <c r="B1116" s="21"/>
      <c r="C1116" s="17"/>
      <c r="D1116" s="21"/>
      <c r="E1116" s="21"/>
      <c r="F1116" s="17"/>
      <c r="G1116" s="17"/>
      <c r="H1116" s="93"/>
    </row>
    <row r="1117" spans="1:8" x14ac:dyDescent="0.35">
      <c r="A1117" s="21"/>
      <c r="B1117" s="21"/>
      <c r="C1117" s="17"/>
      <c r="D1117" s="21"/>
      <c r="E1117" s="21"/>
      <c r="F1117" s="17"/>
      <c r="G1117" s="17"/>
      <c r="H1117" s="93"/>
    </row>
    <row r="1118" spans="1:8" x14ac:dyDescent="0.35">
      <c r="A1118" s="21"/>
      <c r="B1118" s="21"/>
      <c r="C1118" s="17"/>
      <c r="D1118" s="21"/>
      <c r="E1118" s="21"/>
      <c r="F1118" s="17"/>
      <c r="G1118" s="17"/>
      <c r="H1118" s="93"/>
    </row>
    <row r="1119" spans="1:8" x14ac:dyDescent="0.35">
      <c r="A1119" s="21"/>
      <c r="B1119" s="21"/>
      <c r="C1119" s="17"/>
      <c r="D1119" s="21"/>
      <c r="E1119" s="21"/>
      <c r="F1119" s="17"/>
      <c r="G1119" s="17"/>
      <c r="H1119" s="93"/>
    </row>
    <row r="1120" spans="1:8" x14ac:dyDescent="0.35">
      <c r="A1120" s="21"/>
      <c r="B1120" s="21"/>
      <c r="C1120" s="17"/>
      <c r="D1120" s="21"/>
      <c r="E1120" s="21"/>
      <c r="F1120" s="17"/>
      <c r="G1120" s="17"/>
      <c r="H1120" s="93"/>
    </row>
    <row r="1121" spans="1:8" x14ac:dyDescent="0.35">
      <c r="A1121" s="21"/>
      <c r="B1121" s="21"/>
      <c r="C1121" s="17"/>
      <c r="D1121" s="21"/>
      <c r="E1121" s="21"/>
      <c r="F1121" s="17"/>
      <c r="G1121" s="17"/>
      <c r="H1121" s="93"/>
    </row>
    <row r="1122" spans="1:8" x14ac:dyDescent="0.35">
      <c r="A1122" s="21"/>
      <c r="B1122" s="21"/>
      <c r="C1122" s="17"/>
      <c r="D1122" s="21"/>
      <c r="E1122" s="21"/>
      <c r="F1122" s="17"/>
      <c r="G1122" s="17"/>
      <c r="H1122" s="93"/>
    </row>
    <row r="1123" spans="1:8" x14ac:dyDescent="0.35">
      <c r="A1123" s="21"/>
      <c r="B1123" s="21"/>
      <c r="C1123" s="17"/>
      <c r="D1123" s="21"/>
      <c r="E1123" s="21"/>
      <c r="F1123" s="17"/>
      <c r="G1123" s="17"/>
      <c r="H1123" s="93"/>
    </row>
    <row r="1124" spans="1:8" x14ac:dyDescent="0.35">
      <c r="A1124" s="21"/>
      <c r="B1124" s="21"/>
      <c r="C1124" s="17"/>
      <c r="D1124" s="21"/>
      <c r="E1124" s="21"/>
      <c r="F1124" s="17"/>
      <c r="G1124" s="17"/>
      <c r="H1124" s="93"/>
    </row>
    <row r="1125" spans="1:8" x14ac:dyDescent="0.35">
      <c r="A1125" s="21"/>
      <c r="B1125" s="21"/>
      <c r="C1125" s="17"/>
      <c r="D1125" s="21"/>
      <c r="E1125" s="21"/>
      <c r="F1125" s="17"/>
      <c r="G1125" s="17"/>
      <c r="H1125" s="93"/>
    </row>
    <row r="1126" spans="1:8" x14ac:dyDescent="0.35">
      <c r="A1126" s="21"/>
      <c r="B1126" s="21"/>
      <c r="C1126" s="17"/>
      <c r="D1126" s="21"/>
      <c r="E1126" s="21"/>
      <c r="F1126" s="17"/>
      <c r="G1126" s="17"/>
      <c r="H1126" s="93"/>
    </row>
    <row r="1127" spans="1:8" x14ac:dyDescent="0.35">
      <c r="A1127" s="21"/>
      <c r="B1127" s="21"/>
      <c r="C1127" s="17"/>
      <c r="D1127" s="21"/>
      <c r="E1127" s="21"/>
      <c r="F1127" s="17"/>
      <c r="G1127" s="17"/>
      <c r="H1127" s="93"/>
    </row>
    <row r="1128" spans="1:8" x14ac:dyDescent="0.35">
      <c r="A1128" s="21"/>
      <c r="B1128" s="21"/>
      <c r="C1128" s="17"/>
      <c r="D1128" s="21"/>
      <c r="E1128" s="21"/>
      <c r="F1128" s="17"/>
      <c r="G1128" s="17"/>
      <c r="H1128" s="93"/>
    </row>
    <row r="1129" spans="1:8" x14ac:dyDescent="0.35">
      <c r="A1129" s="21"/>
      <c r="B1129" s="21"/>
      <c r="C1129" s="17"/>
      <c r="D1129" s="21"/>
      <c r="E1129" s="21"/>
      <c r="F1129" s="17"/>
      <c r="G1129" s="17"/>
      <c r="H1129" s="93"/>
    </row>
    <row r="1130" spans="1:8" x14ac:dyDescent="0.35">
      <c r="A1130" s="21"/>
      <c r="B1130" s="21"/>
      <c r="C1130" s="17"/>
      <c r="D1130" s="21"/>
      <c r="E1130" s="21"/>
      <c r="F1130" s="17"/>
      <c r="G1130" s="17"/>
      <c r="H1130" s="93"/>
    </row>
    <row r="1131" spans="1:8" x14ac:dyDescent="0.35">
      <c r="A1131" s="21"/>
      <c r="B1131" s="21"/>
      <c r="C1131" s="17"/>
      <c r="D1131" s="21"/>
      <c r="E1131" s="21"/>
      <c r="F1131" s="17"/>
      <c r="G1131" s="17"/>
      <c r="H1131" s="93"/>
    </row>
    <row r="1132" spans="1:8" x14ac:dyDescent="0.35">
      <c r="A1132" s="21"/>
      <c r="B1132" s="21"/>
      <c r="C1132" s="17"/>
      <c r="D1132" s="21"/>
      <c r="E1132" s="21"/>
      <c r="F1132" s="17"/>
      <c r="G1132" s="17"/>
      <c r="H1132" s="93"/>
    </row>
    <row r="1133" spans="1:8" x14ac:dyDescent="0.35">
      <c r="A1133" s="21"/>
      <c r="B1133" s="21"/>
      <c r="C1133" s="17"/>
      <c r="D1133" s="21"/>
      <c r="E1133" s="21"/>
      <c r="F1133" s="17"/>
      <c r="G1133" s="17"/>
      <c r="H1133" s="93"/>
    </row>
    <row r="1134" spans="1:8" x14ac:dyDescent="0.35">
      <c r="A1134" s="21"/>
      <c r="B1134" s="21"/>
      <c r="C1134" s="17"/>
      <c r="D1134" s="21"/>
      <c r="E1134" s="21"/>
      <c r="F1134" s="17"/>
      <c r="G1134" s="17"/>
      <c r="H1134" s="93"/>
    </row>
    <row r="1135" spans="1:8" x14ac:dyDescent="0.35">
      <c r="A1135" s="21"/>
      <c r="B1135" s="21"/>
      <c r="C1135" s="17"/>
      <c r="D1135" s="21"/>
      <c r="E1135" s="21"/>
      <c r="F1135" s="17"/>
      <c r="G1135" s="17"/>
      <c r="H1135" s="93"/>
    </row>
    <row r="1136" spans="1:8" x14ac:dyDescent="0.35">
      <c r="A1136" s="21"/>
      <c r="B1136" s="21"/>
      <c r="C1136" s="17"/>
      <c r="D1136" s="21"/>
      <c r="E1136" s="21"/>
      <c r="F1136" s="17"/>
      <c r="G1136" s="17"/>
      <c r="H1136" s="93"/>
    </row>
    <row r="1137" spans="1:8" x14ac:dyDescent="0.35">
      <c r="A1137" s="21"/>
      <c r="B1137" s="21"/>
      <c r="C1137" s="17"/>
      <c r="D1137" s="21"/>
      <c r="E1137" s="21"/>
      <c r="F1137" s="17"/>
      <c r="G1137" s="17"/>
      <c r="H1137" s="93"/>
    </row>
    <row r="1138" spans="1:8" x14ac:dyDescent="0.35">
      <c r="A1138" s="21"/>
      <c r="B1138" s="21"/>
      <c r="C1138" s="17"/>
      <c r="D1138" s="21"/>
      <c r="E1138" s="21"/>
      <c r="F1138" s="17"/>
      <c r="G1138" s="17"/>
      <c r="H1138" s="93"/>
    </row>
    <row r="1139" spans="1:8" x14ac:dyDescent="0.35">
      <c r="A1139" s="21"/>
      <c r="B1139" s="21"/>
      <c r="C1139" s="17"/>
      <c r="D1139" s="21"/>
      <c r="E1139" s="21"/>
      <c r="F1139" s="17"/>
      <c r="G1139" s="17"/>
      <c r="H1139" s="93"/>
    </row>
    <row r="1140" spans="1:8" x14ac:dyDescent="0.35">
      <c r="A1140" s="21"/>
      <c r="B1140" s="21"/>
      <c r="C1140" s="17"/>
      <c r="D1140" s="21"/>
      <c r="E1140" s="21"/>
      <c r="F1140" s="17"/>
      <c r="G1140" s="17"/>
      <c r="H1140" s="93"/>
    </row>
    <row r="1141" spans="1:8" x14ac:dyDescent="0.35">
      <c r="A1141" s="21"/>
      <c r="B1141" s="21"/>
      <c r="C1141" s="17"/>
      <c r="D1141" s="21"/>
      <c r="E1141" s="21"/>
      <c r="F1141" s="17"/>
      <c r="G1141" s="17"/>
      <c r="H1141" s="93"/>
    </row>
    <row r="1142" spans="1:8" x14ac:dyDescent="0.35">
      <c r="A1142" s="21"/>
      <c r="B1142" s="21"/>
      <c r="C1142" s="17"/>
      <c r="D1142" s="21"/>
      <c r="E1142" s="21"/>
      <c r="F1142" s="17"/>
      <c r="G1142" s="17"/>
      <c r="H1142" s="93"/>
    </row>
    <row r="1143" spans="1:8" x14ac:dyDescent="0.35">
      <c r="A1143" s="21"/>
      <c r="B1143" s="21"/>
      <c r="C1143" s="17"/>
      <c r="D1143" s="21"/>
      <c r="E1143" s="21"/>
      <c r="F1143" s="17"/>
      <c r="G1143" s="17"/>
      <c r="H1143" s="93"/>
    </row>
    <row r="1144" spans="1:8" x14ac:dyDescent="0.35">
      <c r="A1144" s="21"/>
      <c r="B1144" s="21"/>
      <c r="C1144" s="17"/>
      <c r="D1144" s="21"/>
      <c r="E1144" s="21"/>
      <c r="F1144" s="17"/>
      <c r="G1144" s="17"/>
      <c r="H1144" s="93"/>
    </row>
    <row r="1145" spans="1:8" x14ac:dyDescent="0.35">
      <c r="A1145" s="21"/>
      <c r="B1145" s="21"/>
      <c r="C1145" s="17"/>
      <c r="D1145" s="21"/>
      <c r="E1145" s="21"/>
      <c r="F1145" s="17"/>
      <c r="G1145" s="17"/>
      <c r="H1145" s="93"/>
    </row>
    <row r="1146" spans="1:8" x14ac:dyDescent="0.35">
      <c r="A1146" s="21"/>
      <c r="B1146" s="21"/>
      <c r="C1146" s="17"/>
      <c r="D1146" s="21"/>
      <c r="E1146" s="21"/>
      <c r="F1146" s="17"/>
      <c r="G1146" s="17"/>
      <c r="H1146" s="93"/>
    </row>
    <row r="1147" spans="1:8" x14ac:dyDescent="0.35">
      <c r="A1147" s="21"/>
      <c r="B1147" s="21"/>
      <c r="C1147" s="17"/>
      <c r="D1147" s="21"/>
      <c r="E1147" s="21"/>
      <c r="F1147" s="17"/>
      <c r="G1147" s="17"/>
      <c r="H1147" s="93"/>
    </row>
    <row r="1148" spans="1:8" x14ac:dyDescent="0.35">
      <c r="A1148" s="21"/>
      <c r="B1148" s="21"/>
      <c r="C1148" s="17"/>
      <c r="D1148" s="21"/>
      <c r="E1148" s="21"/>
      <c r="F1148" s="17"/>
      <c r="G1148" s="17"/>
      <c r="H1148" s="93"/>
    </row>
    <row r="1149" spans="1:8" x14ac:dyDescent="0.35">
      <c r="A1149" s="21"/>
      <c r="B1149" s="21"/>
      <c r="C1149" s="17"/>
      <c r="D1149" s="21"/>
      <c r="E1149" s="21"/>
      <c r="F1149" s="17"/>
      <c r="G1149" s="17"/>
      <c r="H1149" s="93"/>
    </row>
    <row r="1150" spans="1:8" x14ac:dyDescent="0.35">
      <c r="A1150" s="21"/>
      <c r="B1150" s="21"/>
      <c r="C1150" s="17"/>
      <c r="D1150" s="21"/>
      <c r="E1150" s="21"/>
      <c r="F1150" s="17"/>
      <c r="G1150" s="17"/>
      <c r="H1150" s="93"/>
    </row>
    <row r="1151" spans="1:8" x14ac:dyDescent="0.35">
      <c r="A1151" s="21"/>
      <c r="B1151" s="21"/>
      <c r="C1151" s="17"/>
      <c r="D1151" s="21"/>
      <c r="E1151" s="21"/>
      <c r="F1151" s="17"/>
      <c r="G1151" s="17"/>
      <c r="H1151" s="93"/>
    </row>
    <row r="1152" spans="1:8" x14ac:dyDescent="0.35">
      <c r="A1152" s="21"/>
      <c r="B1152" s="21"/>
      <c r="C1152" s="17"/>
      <c r="D1152" s="21"/>
      <c r="E1152" s="21"/>
      <c r="F1152" s="17"/>
      <c r="G1152" s="17"/>
      <c r="H1152" s="93"/>
    </row>
    <row r="1153" spans="1:8" x14ac:dyDescent="0.35">
      <c r="A1153" s="21"/>
      <c r="B1153" s="21"/>
      <c r="C1153" s="17"/>
      <c r="D1153" s="21"/>
      <c r="E1153" s="21"/>
      <c r="F1153" s="17"/>
      <c r="G1153" s="17"/>
      <c r="H1153" s="93"/>
    </row>
    <row r="1154" spans="1:8" x14ac:dyDescent="0.35">
      <c r="A1154" s="21"/>
      <c r="B1154" s="21"/>
      <c r="C1154" s="17"/>
      <c r="D1154" s="21"/>
      <c r="E1154" s="21"/>
      <c r="F1154" s="17"/>
      <c r="G1154" s="17"/>
      <c r="H1154" s="93"/>
    </row>
    <row r="1155" spans="1:8" x14ac:dyDescent="0.35">
      <c r="A1155" s="21"/>
      <c r="B1155" s="21"/>
      <c r="C1155" s="17"/>
      <c r="D1155" s="21"/>
      <c r="E1155" s="21"/>
      <c r="F1155" s="17"/>
      <c r="G1155" s="17"/>
      <c r="H1155" s="93"/>
    </row>
    <row r="1156" spans="1:8" x14ac:dyDescent="0.35">
      <c r="A1156" s="21"/>
      <c r="B1156" s="21"/>
      <c r="C1156" s="17"/>
      <c r="D1156" s="21"/>
      <c r="E1156" s="21"/>
      <c r="F1156" s="17"/>
      <c r="G1156" s="17"/>
      <c r="H1156" s="93"/>
    </row>
    <row r="1157" spans="1:8" x14ac:dyDescent="0.35">
      <c r="A1157" s="21"/>
      <c r="B1157" s="21"/>
      <c r="C1157" s="17"/>
      <c r="D1157" s="21"/>
      <c r="E1157" s="21"/>
      <c r="F1157" s="17"/>
      <c r="G1157" s="17"/>
      <c r="H1157" s="93"/>
    </row>
    <row r="1158" spans="1:8" x14ac:dyDescent="0.35">
      <c r="A1158" s="21"/>
      <c r="B1158" s="21"/>
      <c r="C1158" s="17"/>
      <c r="D1158" s="21"/>
      <c r="E1158" s="21"/>
      <c r="F1158" s="17"/>
      <c r="G1158" s="17"/>
      <c r="H1158" s="93"/>
    </row>
    <row r="1159" spans="1:8" x14ac:dyDescent="0.35">
      <c r="A1159" s="21"/>
      <c r="B1159" s="21"/>
      <c r="C1159" s="17"/>
      <c r="D1159" s="21"/>
      <c r="E1159" s="21"/>
      <c r="F1159" s="17"/>
      <c r="G1159" s="17"/>
      <c r="H1159" s="93"/>
    </row>
    <row r="1160" spans="1:8" x14ac:dyDescent="0.35">
      <c r="A1160" s="21"/>
      <c r="B1160" s="21"/>
      <c r="C1160" s="17"/>
      <c r="D1160" s="21"/>
      <c r="E1160" s="21"/>
      <c r="F1160" s="17"/>
      <c r="G1160" s="17"/>
      <c r="H1160" s="93"/>
    </row>
    <row r="1161" spans="1:8" x14ac:dyDescent="0.35">
      <c r="A1161" s="21"/>
      <c r="B1161" s="21"/>
      <c r="C1161" s="17"/>
      <c r="D1161" s="21"/>
      <c r="E1161" s="21"/>
      <c r="F1161" s="17"/>
      <c r="G1161" s="17"/>
      <c r="H1161" s="93"/>
    </row>
    <row r="1162" spans="1:8" x14ac:dyDescent="0.35">
      <c r="A1162" s="21"/>
      <c r="B1162" s="21"/>
      <c r="C1162" s="17"/>
      <c r="D1162" s="21"/>
      <c r="E1162" s="21"/>
      <c r="F1162" s="17"/>
      <c r="G1162" s="17"/>
      <c r="H1162" s="93"/>
    </row>
    <row r="1163" spans="1:8" x14ac:dyDescent="0.35">
      <c r="A1163" s="21"/>
      <c r="B1163" s="21"/>
      <c r="C1163" s="17"/>
      <c r="D1163" s="21"/>
      <c r="E1163" s="21"/>
      <c r="F1163" s="17"/>
      <c r="G1163" s="17"/>
      <c r="H1163" s="93"/>
    </row>
    <row r="1164" spans="1:8" x14ac:dyDescent="0.35">
      <c r="A1164" s="21"/>
      <c r="B1164" s="21"/>
      <c r="C1164" s="17"/>
      <c r="D1164" s="21"/>
      <c r="E1164" s="21"/>
      <c r="F1164" s="17"/>
      <c r="G1164" s="17"/>
      <c r="H1164" s="93"/>
    </row>
    <row r="1165" spans="1:8" x14ac:dyDescent="0.35">
      <c r="A1165" s="21"/>
      <c r="B1165" s="21"/>
      <c r="C1165" s="17"/>
      <c r="D1165" s="21"/>
      <c r="E1165" s="21"/>
      <c r="F1165" s="17"/>
      <c r="G1165" s="17"/>
      <c r="H1165" s="93"/>
    </row>
    <row r="1166" spans="1:8" x14ac:dyDescent="0.35">
      <c r="A1166" s="21"/>
      <c r="B1166" s="21"/>
      <c r="C1166" s="17"/>
      <c r="D1166" s="21"/>
      <c r="E1166" s="21"/>
      <c r="F1166" s="17"/>
      <c r="G1166" s="17"/>
      <c r="H1166" s="93"/>
    </row>
    <row r="1167" spans="1:8" x14ac:dyDescent="0.35">
      <c r="A1167" s="21"/>
      <c r="B1167" s="21"/>
      <c r="C1167" s="17"/>
      <c r="D1167" s="21"/>
      <c r="E1167" s="21"/>
      <c r="F1167" s="17"/>
      <c r="G1167" s="17"/>
      <c r="H1167" s="93"/>
    </row>
    <row r="1168" spans="1:8" x14ac:dyDescent="0.35">
      <c r="A1168" s="21"/>
      <c r="B1168" s="21"/>
      <c r="C1168" s="17"/>
      <c r="D1168" s="21"/>
      <c r="E1168" s="21"/>
      <c r="F1168" s="17"/>
      <c r="G1168" s="17"/>
      <c r="H1168" s="93"/>
    </row>
    <row r="1169" spans="1:8" x14ac:dyDescent="0.35">
      <c r="A1169" s="21"/>
      <c r="B1169" s="21"/>
      <c r="C1169" s="17"/>
      <c r="D1169" s="21"/>
      <c r="E1169" s="21"/>
      <c r="F1169" s="17"/>
      <c r="G1169" s="17"/>
      <c r="H1169" s="93"/>
    </row>
    <row r="1170" spans="1:8" x14ac:dyDescent="0.35">
      <c r="A1170" s="21"/>
      <c r="B1170" s="21"/>
      <c r="C1170" s="17"/>
      <c r="D1170" s="21"/>
      <c r="E1170" s="21"/>
      <c r="F1170" s="17"/>
      <c r="G1170" s="17"/>
      <c r="H1170" s="93"/>
    </row>
    <row r="1171" spans="1:8" x14ac:dyDescent="0.35">
      <c r="A1171" s="21"/>
      <c r="B1171" s="21"/>
      <c r="C1171" s="17"/>
      <c r="D1171" s="21"/>
      <c r="E1171" s="21"/>
      <c r="F1171" s="17"/>
      <c r="G1171" s="17"/>
      <c r="H1171" s="93"/>
    </row>
    <row r="1172" spans="1:8" x14ac:dyDescent="0.35">
      <c r="A1172" s="21"/>
      <c r="B1172" s="21"/>
      <c r="C1172" s="17"/>
      <c r="D1172" s="21"/>
      <c r="E1172" s="21"/>
      <c r="F1172" s="17"/>
      <c r="G1172" s="17"/>
      <c r="H1172" s="93"/>
    </row>
    <row r="1173" spans="1:8" x14ac:dyDescent="0.35">
      <c r="A1173" s="21"/>
      <c r="B1173" s="21"/>
      <c r="C1173" s="17"/>
      <c r="D1173" s="21"/>
      <c r="E1173" s="21"/>
      <c r="F1173" s="17"/>
      <c r="G1173" s="17"/>
      <c r="H1173" s="93"/>
    </row>
    <row r="1174" spans="1:8" x14ac:dyDescent="0.35">
      <c r="A1174" s="21"/>
      <c r="B1174" s="21"/>
      <c r="C1174" s="17"/>
      <c r="D1174" s="21"/>
      <c r="E1174" s="21"/>
      <c r="F1174" s="17"/>
      <c r="G1174" s="17"/>
      <c r="H1174" s="93"/>
    </row>
    <row r="1175" spans="1:8" x14ac:dyDescent="0.35">
      <c r="A1175" s="21"/>
      <c r="B1175" s="21"/>
      <c r="C1175" s="17"/>
      <c r="D1175" s="21"/>
      <c r="E1175" s="21"/>
      <c r="F1175" s="17"/>
      <c r="G1175" s="17"/>
      <c r="H1175" s="93"/>
    </row>
    <row r="1176" spans="1:8" x14ac:dyDescent="0.35">
      <c r="A1176" s="21"/>
      <c r="B1176" s="21"/>
      <c r="C1176" s="17"/>
      <c r="D1176" s="21"/>
      <c r="E1176" s="21"/>
      <c r="F1176" s="17"/>
      <c r="G1176" s="17"/>
      <c r="H1176" s="93"/>
    </row>
    <row r="1177" spans="1:8" x14ac:dyDescent="0.35">
      <c r="A1177" s="21"/>
      <c r="B1177" s="21"/>
      <c r="C1177" s="17"/>
      <c r="D1177" s="21"/>
      <c r="E1177" s="21"/>
      <c r="F1177" s="17"/>
      <c r="G1177" s="17"/>
      <c r="H1177" s="93"/>
    </row>
    <row r="1178" spans="1:8" x14ac:dyDescent="0.35">
      <c r="A1178" s="21"/>
      <c r="B1178" s="21"/>
      <c r="C1178" s="17"/>
      <c r="D1178" s="21"/>
      <c r="E1178" s="21"/>
      <c r="F1178" s="17"/>
      <c r="G1178" s="17"/>
      <c r="H1178" s="93"/>
    </row>
    <row r="1179" spans="1:8" x14ac:dyDescent="0.35">
      <c r="A1179" s="21"/>
      <c r="B1179" s="21"/>
      <c r="C1179" s="17"/>
      <c r="D1179" s="21"/>
      <c r="E1179" s="21"/>
      <c r="F1179" s="17"/>
      <c r="G1179" s="17"/>
      <c r="H1179" s="93"/>
    </row>
    <row r="1180" spans="1:8" x14ac:dyDescent="0.35">
      <c r="A1180" s="21"/>
      <c r="B1180" s="21"/>
      <c r="C1180" s="17"/>
      <c r="D1180" s="21"/>
      <c r="E1180" s="21"/>
      <c r="F1180" s="17"/>
      <c r="G1180" s="17"/>
      <c r="H1180" s="93"/>
    </row>
    <row r="1181" spans="1:8" x14ac:dyDescent="0.35">
      <c r="A1181" s="21"/>
      <c r="B1181" s="21"/>
      <c r="C1181" s="17"/>
      <c r="D1181" s="21"/>
      <c r="E1181" s="21"/>
      <c r="F1181" s="17"/>
      <c r="G1181" s="17"/>
      <c r="H1181" s="93"/>
    </row>
    <row r="1182" spans="1:8" x14ac:dyDescent="0.35">
      <c r="A1182" s="21"/>
      <c r="B1182" s="21"/>
      <c r="C1182" s="17"/>
      <c r="D1182" s="21"/>
      <c r="E1182" s="21"/>
      <c r="F1182" s="17"/>
      <c r="G1182" s="17"/>
      <c r="H1182" s="93"/>
    </row>
    <row r="1183" spans="1:8" x14ac:dyDescent="0.35">
      <c r="A1183" s="21"/>
      <c r="B1183" s="21"/>
      <c r="C1183" s="17"/>
      <c r="D1183" s="21"/>
      <c r="E1183" s="21"/>
      <c r="F1183" s="17"/>
      <c r="G1183" s="17"/>
      <c r="H1183" s="93"/>
    </row>
    <row r="1184" spans="1:8" x14ac:dyDescent="0.35">
      <c r="A1184" s="21"/>
      <c r="B1184" s="21"/>
      <c r="C1184" s="17"/>
      <c r="D1184" s="21"/>
      <c r="E1184" s="21"/>
      <c r="F1184" s="17"/>
      <c r="G1184" s="17"/>
      <c r="H1184" s="93"/>
    </row>
    <row r="1185" spans="1:8" x14ac:dyDescent="0.35">
      <c r="A1185" s="21"/>
      <c r="B1185" s="21"/>
      <c r="C1185" s="17"/>
      <c r="D1185" s="21"/>
      <c r="E1185" s="21"/>
      <c r="F1185" s="17"/>
      <c r="G1185" s="17"/>
      <c r="H1185" s="93"/>
    </row>
    <row r="1186" spans="1:8" x14ac:dyDescent="0.35">
      <c r="A1186" s="21"/>
      <c r="B1186" s="21"/>
      <c r="C1186" s="17"/>
      <c r="D1186" s="21"/>
      <c r="E1186" s="21"/>
      <c r="F1186" s="17"/>
      <c r="G1186" s="17"/>
      <c r="H1186" s="93"/>
    </row>
    <row r="1187" spans="1:8" x14ac:dyDescent="0.35">
      <c r="A1187" s="21"/>
      <c r="B1187" s="21"/>
      <c r="C1187" s="17"/>
      <c r="D1187" s="21"/>
      <c r="E1187" s="21"/>
      <c r="F1187" s="17"/>
      <c r="G1187" s="17"/>
      <c r="H1187" s="93"/>
    </row>
    <row r="1188" spans="1:8" x14ac:dyDescent="0.35">
      <c r="A1188" s="21"/>
      <c r="B1188" s="21"/>
      <c r="C1188" s="17"/>
      <c r="D1188" s="21"/>
      <c r="E1188" s="21"/>
      <c r="F1188" s="17"/>
      <c r="G1188" s="17"/>
      <c r="H1188" s="93"/>
    </row>
    <row r="1189" spans="1:8" x14ac:dyDescent="0.35">
      <c r="A1189" s="21"/>
      <c r="B1189" s="21"/>
      <c r="C1189" s="17"/>
      <c r="D1189" s="21"/>
      <c r="E1189" s="21"/>
      <c r="F1189" s="17"/>
      <c r="G1189" s="17"/>
      <c r="H1189" s="93"/>
    </row>
    <row r="1190" spans="1:8" x14ac:dyDescent="0.35">
      <c r="A1190" s="21"/>
      <c r="B1190" s="21"/>
      <c r="C1190" s="17"/>
      <c r="D1190" s="21"/>
      <c r="E1190" s="21"/>
      <c r="F1190" s="17"/>
      <c r="G1190" s="17"/>
      <c r="H1190" s="93"/>
    </row>
    <row r="1191" spans="1:8" x14ac:dyDescent="0.35">
      <c r="A1191" s="21"/>
      <c r="B1191" s="21"/>
      <c r="C1191" s="17"/>
      <c r="D1191" s="21"/>
      <c r="E1191" s="21"/>
      <c r="F1191" s="17"/>
      <c r="G1191" s="17"/>
      <c r="H1191" s="93"/>
    </row>
    <row r="1192" spans="1:8" x14ac:dyDescent="0.35">
      <c r="A1192" s="21"/>
      <c r="B1192" s="21"/>
      <c r="C1192" s="17"/>
      <c r="D1192" s="21"/>
      <c r="E1192" s="21"/>
      <c r="F1192" s="17"/>
      <c r="G1192" s="17"/>
      <c r="H1192" s="93"/>
    </row>
    <row r="1193" spans="1:8" x14ac:dyDescent="0.35">
      <c r="A1193" s="21"/>
      <c r="B1193" s="21"/>
      <c r="C1193" s="17"/>
      <c r="D1193" s="21"/>
      <c r="E1193" s="21"/>
      <c r="F1193" s="17"/>
      <c r="G1193" s="17"/>
      <c r="H1193" s="93"/>
    </row>
    <row r="1194" spans="1:8" x14ac:dyDescent="0.35">
      <c r="A1194" s="21"/>
      <c r="B1194" s="21"/>
      <c r="C1194" s="17"/>
      <c r="D1194" s="21"/>
      <c r="E1194" s="21"/>
      <c r="F1194" s="17"/>
      <c r="G1194" s="17"/>
      <c r="H1194" s="93"/>
    </row>
    <row r="1195" spans="1:8" x14ac:dyDescent="0.35">
      <c r="A1195" s="21"/>
      <c r="B1195" s="21"/>
      <c r="C1195" s="17"/>
      <c r="D1195" s="21"/>
      <c r="E1195" s="21"/>
      <c r="F1195" s="17"/>
      <c r="G1195" s="17"/>
      <c r="H1195" s="93"/>
    </row>
    <row r="1196" spans="1:8" x14ac:dyDescent="0.35">
      <c r="A1196" s="21"/>
      <c r="B1196" s="21"/>
      <c r="C1196" s="17"/>
      <c r="D1196" s="21"/>
      <c r="E1196" s="21"/>
      <c r="F1196" s="17"/>
      <c r="G1196" s="17"/>
      <c r="H1196" s="93"/>
    </row>
    <row r="1197" spans="1:8" x14ac:dyDescent="0.35">
      <c r="A1197" s="21"/>
      <c r="B1197" s="21"/>
      <c r="C1197" s="17"/>
      <c r="D1197" s="21"/>
      <c r="E1197" s="21"/>
      <c r="F1197" s="17"/>
      <c r="G1197" s="17"/>
      <c r="H1197" s="93"/>
    </row>
    <row r="1198" spans="1:8" x14ac:dyDescent="0.35">
      <c r="A1198" s="21"/>
      <c r="B1198" s="21"/>
      <c r="C1198" s="17"/>
      <c r="D1198" s="21"/>
      <c r="E1198" s="21"/>
      <c r="F1198" s="17"/>
      <c r="G1198" s="17"/>
      <c r="H1198" s="93"/>
    </row>
    <row r="1199" spans="1:8" x14ac:dyDescent="0.35">
      <c r="A1199" s="21"/>
      <c r="B1199" s="21"/>
      <c r="C1199" s="17"/>
      <c r="D1199" s="21"/>
      <c r="E1199" s="21"/>
      <c r="F1199" s="17"/>
      <c r="G1199" s="17"/>
      <c r="H1199" s="93"/>
    </row>
    <row r="1200" spans="1:8" x14ac:dyDescent="0.35">
      <c r="A1200" s="21"/>
      <c r="B1200" s="21"/>
      <c r="C1200" s="17"/>
      <c r="D1200" s="21"/>
      <c r="E1200" s="21"/>
      <c r="F1200" s="17"/>
      <c r="G1200" s="17"/>
      <c r="H1200" s="93"/>
    </row>
    <row r="1201" spans="1:8" x14ac:dyDescent="0.35">
      <c r="A1201" s="21"/>
      <c r="B1201" s="21"/>
      <c r="C1201" s="17"/>
      <c r="D1201" s="21"/>
      <c r="E1201" s="21"/>
      <c r="F1201" s="17"/>
      <c r="G1201" s="17"/>
      <c r="H1201" s="93"/>
    </row>
    <row r="1202" spans="1:8" x14ac:dyDescent="0.35">
      <c r="A1202" s="21"/>
      <c r="B1202" s="21"/>
      <c r="C1202" s="17"/>
      <c r="D1202" s="21"/>
      <c r="E1202" s="21"/>
      <c r="F1202" s="17"/>
      <c r="G1202" s="17"/>
      <c r="H1202" s="93"/>
    </row>
    <row r="1203" spans="1:8" x14ac:dyDescent="0.35">
      <c r="A1203" s="21"/>
      <c r="B1203" s="21"/>
      <c r="C1203" s="17"/>
      <c r="D1203" s="21"/>
      <c r="E1203" s="21"/>
      <c r="F1203" s="17"/>
      <c r="G1203" s="17"/>
      <c r="H1203" s="93"/>
    </row>
    <row r="1204" spans="1:8" x14ac:dyDescent="0.35">
      <c r="A1204" s="21"/>
      <c r="B1204" s="21"/>
      <c r="C1204" s="17"/>
      <c r="D1204" s="21"/>
      <c r="E1204" s="21"/>
      <c r="F1204" s="17"/>
      <c r="G1204" s="17"/>
      <c r="H1204" s="93"/>
    </row>
    <row r="1205" spans="1:8" x14ac:dyDescent="0.35">
      <c r="A1205" s="21"/>
      <c r="B1205" s="21"/>
      <c r="C1205" s="17"/>
      <c r="D1205" s="21"/>
      <c r="E1205" s="21"/>
      <c r="F1205" s="17"/>
      <c r="G1205" s="17"/>
      <c r="H1205" s="93"/>
    </row>
    <row r="1206" spans="1:8" x14ac:dyDescent="0.35">
      <c r="A1206" s="21"/>
      <c r="B1206" s="21"/>
      <c r="C1206" s="17"/>
      <c r="D1206" s="21"/>
      <c r="E1206" s="21"/>
      <c r="F1206" s="17"/>
      <c r="G1206" s="17"/>
      <c r="H1206" s="93"/>
    </row>
    <row r="1207" spans="1:8" x14ac:dyDescent="0.35">
      <c r="A1207" s="21"/>
      <c r="B1207" s="21"/>
      <c r="C1207" s="17"/>
      <c r="D1207" s="21"/>
      <c r="E1207" s="21"/>
      <c r="F1207" s="17"/>
      <c r="G1207" s="17"/>
      <c r="H1207" s="93"/>
    </row>
    <row r="1208" spans="1:8" x14ac:dyDescent="0.35">
      <c r="A1208" s="21"/>
      <c r="B1208" s="21"/>
      <c r="C1208" s="17"/>
      <c r="D1208" s="21"/>
      <c r="E1208" s="21"/>
      <c r="F1208" s="17"/>
      <c r="G1208" s="17"/>
      <c r="H1208" s="93"/>
    </row>
    <row r="1209" spans="1:8" x14ac:dyDescent="0.35">
      <c r="A1209" s="21"/>
      <c r="B1209" s="21"/>
      <c r="C1209" s="17"/>
      <c r="D1209" s="21"/>
      <c r="E1209" s="21"/>
      <c r="F1209" s="17"/>
      <c r="G1209" s="17"/>
      <c r="H1209" s="93"/>
    </row>
    <row r="1210" spans="1:8" x14ac:dyDescent="0.35">
      <c r="A1210" s="21"/>
      <c r="B1210" s="21"/>
      <c r="C1210" s="17"/>
      <c r="D1210" s="21"/>
      <c r="E1210" s="21"/>
      <c r="F1210" s="17"/>
      <c r="G1210" s="17"/>
      <c r="H1210" s="93"/>
    </row>
    <row r="1211" spans="1:8" x14ac:dyDescent="0.35">
      <c r="A1211" s="21"/>
      <c r="B1211" s="21"/>
      <c r="C1211" s="17"/>
      <c r="D1211" s="21"/>
      <c r="E1211" s="21"/>
      <c r="F1211" s="17"/>
      <c r="G1211" s="17"/>
      <c r="H1211" s="93"/>
    </row>
    <row r="1212" spans="1:8" x14ac:dyDescent="0.35">
      <c r="A1212" s="21"/>
      <c r="B1212" s="21"/>
      <c r="C1212" s="17"/>
      <c r="D1212" s="21"/>
      <c r="E1212" s="21"/>
      <c r="F1212" s="17"/>
      <c r="G1212" s="17"/>
      <c r="H1212" s="93"/>
    </row>
    <row r="1213" spans="1:8" x14ac:dyDescent="0.35">
      <c r="A1213" s="21"/>
      <c r="B1213" s="21"/>
      <c r="C1213" s="17"/>
      <c r="D1213" s="21"/>
      <c r="E1213" s="21"/>
      <c r="F1213" s="17"/>
      <c r="G1213" s="17"/>
      <c r="H1213" s="93"/>
    </row>
    <row r="1214" spans="1:8" x14ac:dyDescent="0.35">
      <c r="A1214" s="21"/>
      <c r="B1214" s="21"/>
      <c r="C1214" s="17"/>
      <c r="D1214" s="21"/>
      <c r="E1214" s="21"/>
      <c r="F1214" s="17"/>
      <c r="G1214" s="17"/>
      <c r="H1214" s="93"/>
    </row>
    <row r="1215" spans="1:8" x14ac:dyDescent="0.35">
      <c r="A1215" s="21"/>
      <c r="B1215" s="21"/>
      <c r="C1215" s="17"/>
      <c r="D1215" s="21"/>
      <c r="E1215" s="21"/>
      <c r="F1215" s="17"/>
      <c r="G1215" s="17"/>
      <c r="H1215" s="93"/>
    </row>
    <row r="1216" spans="1:8" x14ac:dyDescent="0.35">
      <c r="A1216" s="21"/>
      <c r="B1216" s="21"/>
      <c r="C1216" s="17"/>
      <c r="D1216" s="21"/>
      <c r="E1216" s="21"/>
      <c r="F1216" s="17"/>
      <c r="G1216" s="17"/>
      <c r="H1216" s="93"/>
    </row>
    <row r="1217" spans="1:8" x14ac:dyDescent="0.35">
      <c r="A1217" s="21"/>
      <c r="B1217" s="21"/>
      <c r="C1217" s="17"/>
      <c r="D1217" s="21"/>
      <c r="E1217" s="21"/>
      <c r="F1217" s="17"/>
      <c r="G1217" s="17"/>
      <c r="H1217" s="93"/>
    </row>
    <row r="1218" spans="1:8" x14ac:dyDescent="0.35">
      <c r="A1218" s="21"/>
      <c r="B1218" s="21"/>
      <c r="C1218" s="17"/>
      <c r="D1218" s="21"/>
      <c r="E1218" s="21"/>
      <c r="F1218" s="17"/>
      <c r="G1218" s="17"/>
      <c r="H1218" s="93"/>
    </row>
    <row r="1219" spans="1:8" x14ac:dyDescent="0.35">
      <c r="A1219" s="21"/>
      <c r="B1219" s="21"/>
      <c r="C1219" s="17"/>
      <c r="D1219" s="21"/>
      <c r="E1219" s="21"/>
      <c r="F1219" s="17"/>
      <c r="G1219" s="17"/>
      <c r="H1219" s="93"/>
    </row>
    <row r="1220" spans="1:8" x14ac:dyDescent="0.35">
      <c r="A1220" s="21"/>
      <c r="B1220" s="21"/>
      <c r="C1220" s="17"/>
      <c r="D1220" s="21"/>
      <c r="E1220" s="21"/>
      <c r="F1220" s="17"/>
      <c r="G1220" s="17"/>
      <c r="H1220" s="93"/>
    </row>
    <row r="1221" spans="1:8" x14ac:dyDescent="0.35">
      <c r="A1221" s="21"/>
      <c r="B1221" s="21"/>
      <c r="C1221" s="17"/>
      <c r="D1221" s="21"/>
      <c r="E1221" s="21"/>
      <c r="F1221" s="17"/>
      <c r="G1221" s="17"/>
      <c r="H1221" s="93"/>
    </row>
    <row r="1222" spans="1:8" x14ac:dyDescent="0.35">
      <c r="A1222" s="21"/>
      <c r="B1222" s="21"/>
      <c r="C1222" s="17"/>
      <c r="D1222" s="21"/>
      <c r="E1222" s="21"/>
      <c r="F1222" s="17"/>
      <c r="G1222" s="17"/>
      <c r="H1222" s="93"/>
    </row>
    <row r="1223" spans="1:8" x14ac:dyDescent="0.35">
      <c r="A1223" s="21"/>
      <c r="B1223" s="21"/>
      <c r="C1223" s="17"/>
      <c r="D1223" s="21"/>
      <c r="E1223" s="21"/>
      <c r="F1223" s="17"/>
      <c r="G1223" s="17"/>
      <c r="H1223" s="93"/>
    </row>
    <row r="1224" spans="1:8" x14ac:dyDescent="0.35">
      <c r="A1224" s="21"/>
      <c r="B1224" s="21"/>
      <c r="C1224" s="17"/>
      <c r="D1224" s="21"/>
      <c r="E1224" s="21"/>
      <c r="F1224" s="17"/>
      <c r="G1224" s="17"/>
      <c r="H1224" s="93"/>
    </row>
    <row r="1225" spans="1:8" x14ac:dyDescent="0.35">
      <c r="A1225" s="21"/>
      <c r="B1225" s="21"/>
      <c r="C1225" s="17"/>
      <c r="D1225" s="21"/>
      <c r="E1225" s="21"/>
      <c r="F1225" s="17"/>
      <c r="G1225" s="17"/>
      <c r="H1225" s="93"/>
    </row>
    <row r="1226" spans="1:8" x14ac:dyDescent="0.35">
      <c r="A1226" s="21"/>
      <c r="B1226" s="21"/>
      <c r="C1226" s="17"/>
      <c r="D1226" s="21"/>
      <c r="E1226" s="21"/>
      <c r="F1226" s="17"/>
      <c r="G1226" s="17"/>
      <c r="H1226" s="93"/>
    </row>
    <row r="1227" spans="1:8" x14ac:dyDescent="0.35">
      <c r="A1227" s="21"/>
      <c r="B1227" s="21"/>
      <c r="C1227" s="17"/>
      <c r="D1227" s="21"/>
      <c r="E1227" s="21"/>
      <c r="F1227" s="17"/>
      <c r="G1227" s="17"/>
      <c r="H1227" s="93"/>
    </row>
    <row r="1228" spans="1:8" x14ac:dyDescent="0.35">
      <c r="A1228" s="21"/>
      <c r="B1228" s="21"/>
      <c r="C1228" s="17"/>
      <c r="D1228" s="21"/>
      <c r="E1228" s="21"/>
      <c r="F1228" s="17"/>
      <c r="G1228" s="17"/>
      <c r="H1228" s="93"/>
    </row>
    <row r="1229" spans="1:8" x14ac:dyDescent="0.35">
      <c r="A1229" s="21"/>
      <c r="B1229" s="21"/>
      <c r="C1229" s="17"/>
      <c r="D1229" s="21"/>
      <c r="E1229" s="21"/>
      <c r="F1229" s="17"/>
      <c r="G1229" s="17"/>
      <c r="H1229" s="93"/>
    </row>
    <row r="1230" spans="1:8" x14ac:dyDescent="0.35">
      <c r="A1230" s="21"/>
      <c r="B1230" s="21"/>
      <c r="C1230" s="17"/>
      <c r="D1230" s="21"/>
      <c r="E1230" s="21"/>
      <c r="F1230" s="17"/>
      <c r="G1230" s="17"/>
      <c r="H1230" s="93"/>
    </row>
    <row r="1231" spans="1:8" x14ac:dyDescent="0.35">
      <c r="A1231" s="21"/>
      <c r="B1231" s="21"/>
      <c r="C1231" s="17"/>
      <c r="D1231" s="21"/>
      <c r="E1231" s="21"/>
      <c r="F1231" s="17"/>
      <c r="G1231" s="17"/>
      <c r="H1231" s="93"/>
    </row>
    <row r="1232" spans="1:8" x14ac:dyDescent="0.35">
      <c r="A1232" s="21"/>
      <c r="B1232" s="21"/>
      <c r="C1232" s="17"/>
      <c r="D1232" s="21"/>
      <c r="E1232" s="21"/>
      <c r="F1232" s="17"/>
      <c r="G1232" s="17"/>
      <c r="H1232" s="93"/>
    </row>
    <row r="1233" spans="1:8" x14ac:dyDescent="0.35">
      <c r="A1233" s="21"/>
      <c r="B1233" s="21"/>
      <c r="C1233" s="17"/>
      <c r="D1233" s="21"/>
      <c r="E1233" s="21"/>
      <c r="F1233" s="17"/>
      <c r="G1233" s="17"/>
      <c r="H1233" s="93"/>
    </row>
    <row r="1234" spans="1:8" x14ac:dyDescent="0.35">
      <c r="A1234" s="21"/>
      <c r="B1234" s="21"/>
      <c r="C1234" s="17"/>
      <c r="D1234" s="21"/>
      <c r="E1234" s="21"/>
      <c r="F1234" s="17"/>
      <c r="G1234" s="17"/>
      <c r="H1234" s="93"/>
    </row>
    <row r="1235" spans="1:8" x14ac:dyDescent="0.35">
      <c r="A1235" s="21"/>
      <c r="B1235" s="21"/>
      <c r="C1235" s="17"/>
      <c r="D1235" s="21"/>
      <c r="E1235" s="21"/>
      <c r="F1235" s="17"/>
      <c r="G1235" s="17"/>
      <c r="H1235" s="93"/>
    </row>
    <row r="1236" spans="1:8" x14ac:dyDescent="0.35">
      <c r="A1236" s="21"/>
      <c r="B1236" s="21"/>
      <c r="C1236" s="17"/>
      <c r="D1236" s="21"/>
      <c r="E1236" s="21"/>
      <c r="F1236" s="17"/>
      <c r="G1236" s="17"/>
      <c r="H1236" s="93"/>
    </row>
    <row r="1237" spans="1:8" x14ac:dyDescent="0.35">
      <c r="A1237" s="21"/>
      <c r="B1237" s="21"/>
      <c r="C1237" s="17"/>
      <c r="D1237" s="21"/>
      <c r="E1237" s="21"/>
      <c r="F1237" s="17"/>
      <c r="G1237" s="17"/>
      <c r="H1237" s="93"/>
    </row>
    <row r="1238" spans="1:8" x14ac:dyDescent="0.35">
      <c r="A1238" s="21"/>
      <c r="B1238" s="21"/>
      <c r="C1238" s="17"/>
      <c r="D1238" s="21"/>
      <c r="E1238" s="21"/>
      <c r="F1238" s="17"/>
      <c r="G1238" s="17"/>
      <c r="H1238" s="93"/>
    </row>
    <row r="1239" spans="1:8" x14ac:dyDescent="0.35">
      <c r="A1239" s="21"/>
      <c r="B1239" s="21"/>
      <c r="C1239" s="17"/>
      <c r="D1239" s="21"/>
      <c r="E1239" s="21"/>
      <c r="F1239" s="17"/>
      <c r="G1239" s="17"/>
      <c r="H1239" s="93"/>
    </row>
    <row r="1240" spans="1:8" x14ac:dyDescent="0.35">
      <c r="A1240" s="21"/>
      <c r="B1240" s="21"/>
      <c r="C1240" s="17"/>
      <c r="D1240" s="21"/>
      <c r="E1240" s="21"/>
      <c r="F1240" s="17"/>
      <c r="G1240" s="17"/>
      <c r="H1240" s="93"/>
    </row>
    <row r="1241" spans="1:8" x14ac:dyDescent="0.35">
      <c r="A1241" s="21"/>
      <c r="B1241" s="21"/>
      <c r="C1241" s="17"/>
      <c r="D1241" s="21"/>
      <c r="E1241" s="21"/>
      <c r="F1241" s="17"/>
      <c r="G1241" s="17"/>
      <c r="H1241" s="93"/>
    </row>
    <row r="1242" spans="1:8" x14ac:dyDescent="0.35">
      <c r="A1242" s="21"/>
      <c r="B1242" s="21"/>
      <c r="C1242" s="17"/>
      <c r="D1242" s="21"/>
      <c r="E1242" s="21"/>
      <c r="F1242" s="17"/>
      <c r="G1242" s="17"/>
      <c r="H1242" s="93"/>
    </row>
    <row r="1243" spans="1:8" x14ac:dyDescent="0.35">
      <c r="A1243" s="21"/>
      <c r="B1243" s="21"/>
      <c r="C1243" s="17"/>
      <c r="D1243" s="21"/>
      <c r="E1243" s="21"/>
      <c r="F1243" s="17"/>
      <c r="G1243" s="17"/>
      <c r="H1243" s="93"/>
    </row>
    <row r="1244" spans="1:8" x14ac:dyDescent="0.35">
      <c r="A1244" s="21"/>
      <c r="B1244" s="21"/>
      <c r="C1244" s="17"/>
      <c r="D1244" s="21"/>
      <c r="E1244" s="21"/>
      <c r="F1244" s="17"/>
      <c r="G1244" s="17"/>
      <c r="H1244" s="93"/>
    </row>
    <row r="1245" spans="1:8" x14ac:dyDescent="0.35">
      <c r="A1245" s="21"/>
      <c r="B1245" s="21"/>
      <c r="C1245" s="17"/>
      <c r="D1245" s="21"/>
      <c r="E1245" s="21"/>
      <c r="F1245" s="17"/>
      <c r="G1245" s="17"/>
      <c r="H1245" s="93"/>
    </row>
    <row r="1246" spans="1:8" x14ac:dyDescent="0.35">
      <c r="A1246" s="21"/>
      <c r="B1246" s="21"/>
      <c r="C1246" s="17"/>
      <c r="D1246" s="21"/>
      <c r="E1246" s="21"/>
      <c r="F1246" s="17"/>
      <c r="G1246" s="17"/>
      <c r="H1246" s="93"/>
    </row>
    <row r="1247" spans="1:8" x14ac:dyDescent="0.35">
      <c r="A1247" s="21"/>
      <c r="B1247" s="21"/>
      <c r="C1247" s="17"/>
      <c r="D1247" s="21"/>
      <c r="E1247" s="21"/>
      <c r="F1247" s="17"/>
      <c r="G1247" s="17"/>
      <c r="H1247" s="93"/>
    </row>
    <row r="1248" spans="1:8" x14ac:dyDescent="0.35">
      <c r="A1248" s="21"/>
      <c r="B1248" s="21"/>
      <c r="C1248" s="17"/>
      <c r="D1248" s="21"/>
      <c r="E1248" s="21"/>
      <c r="F1248" s="17"/>
      <c r="G1248" s="17"/>
      <c r="H1248" s="93"/>
    </row>
    <row r="1249" spans="1:8" x14ac:dyDescent="0.35">
      <c r="A1249" s="21"/>
      <c r="B1249" s="21"/>
      <c r="C1249" s="17"/>
      <c r="D1249" s="21"/>
      <c r="E1249" s="21"/>
      <c r="F1249" s="17"/>
      <c r="G1249" s="17"/>
      <c r="H1249" s="93"/>
    </row>
    <row r="1250" spans="1:8" x14ac:dyDescent="0.35">
      <c r="A1250" s="21"/>
      <c r="B1250" s="21"/>
      <c r="C1250" s="17"/>
      <c r="D1250" s="21"/>
      <c r="E1250" s="21"/>
      <c r="F1250" s="17"/>
      <c r="G1250" s="17"/>
      <c r="H1250" s="93"/>
    </row>
    <row r="1251" spans="1:8" x14ac:dyDescent="0.35">
      <c r="A1251" s="21"/>
      <c r="B1251" s="21"/>
      <c r="C1251" s="17"/>
      <c r="D1251" s="21"/>
      <c r="E1251" s="21"/>
      <c r="F1251" s="17"/>
      <c r="G1251" s="17"/>
      <c r="H1251" s="93"/>
    </row>
    <row r="1252" spans="1:8" x14ac:dyDescent="0.35">
      <c r="A1252" s="21"/>
      <c r="B1252" s="21"/>
      <c r="C1252" s="17"/>
      <c r="D1252" s="21"/>
      <c r="E1252" s="21"/>
      <c r="F1252" s="17"/>
      <c r="G1252" s="17"/>
      <c r="H1252" s="93"/>
    </row>
    <row r="1253" spans="1:8" x14ac:dyDescent="0.35">
      <c r="A1253" s="21"/>
      <c r="B1253" s="21"/>
      <c r="C1253" s="17"/>
      <c r="D1253" s="21"/>
      <c r="E1253" s="21"/>
      <c r="F1253" s="17"/>
      <c r="G1253" s="17"/>
      <c r="H1253" s="93"/>
    </row>
    <row r="1254" spans="1:8" x14ac:dyDescent="0.35">
      <c r="A1254" s="21"/>
      <c r="B1254" s="21"/>
      <c r="C1254" s="17"/>
      <c r="D1254" s="21"/>
      <c r="E1254" s="21"/>
      <c r="F1254" s="17"/>
      <c r="G1254" s="17"/>
      <c r="H1254" s="93"/>
    </row>
    <row r="1255" spans="1:8" x14ac:dyDescent="0.35">
      <c r="A1255" s="21"/>
      <c r="B1255" s="21"/>
      <c r="C1255" s="17"/>
      <c r="D1255" s="21"/>
      <c r="E1255" s="21"/>
      <c r="F1255" s="17"/>
      <c r="G1255" s="17"/>
      <c r="H1255" s="93"/>
    </row>
    <row r="1256" spans="1:8" x14ac:dyDescent="0.35">
      <c r="A1256" s="21"/>
      <c r="B1256" s="21"/>
      <c r="C1256" s="17"/>
      <c r="D1256" s="21"/>
      <c r="E1256" s="21"/>
      <c r="F1256" s="17"/>
      <c r="G1256" s="17"/>
      <c r="H1256" s="93"/>
    </row>
    <row r="1257" spans="1:8" x14ac:dyDescent="0.35">
      <c r="A1257" s="21"/>
      <c r="B1257" s="21"/>
      <c r="C1257" s="17"/>
      <c r="D1257" s="21"/>
      <c r="E1257" s="21"/>
      <c r="F1257" s="17"/>
      <c r="G1257" s="17"/>
      <c r="H1257" s="93"/>
    </row>
    <row r="1258" spans="1:8" x14ac:dyDescent="0.35">
      <c r="A1258" s="21"/>
      <c r="B1258" s="21"/>
      <c r="C1258" s="17"/>
      <c r="D1258" s="21"/>
      <c r="E1258" s="21"/>
      <c r="F1258" s="17"/>
      <c r="G1258" s="17"/>
      <c r="H1258" s="93"/>
    </row>
    <row r="1259" spans="1:8" x14ac:dyDescent="0.35">
      <c r="A1259" s="21"/>
      <c r="B1259" s="21"/>
      <c r="C1259" s="17"/>
      <c r="D1259" s="21"/>
      <c r="E1259" s="21"/>
      <c r="F1259" s="17"/>
      <c r="G1259" s="17"/>
      <c r="H1259" s="93"/>
    </row>
    <row r="1260" spans="1:8" x14ac:dyDescent="0.35">
      <c r="A1260" s="21"/>
      <c r="B1260" s="21"/>
      <c r="C1260" s="17"/>
      <c r="D1260" s="21"/>
      <c r="E1260" s="21"/>
      <c r="F1260" s="17"/>
      <c r="G1260" s="17"/>
      <c r="H1260" s="93"/>
    </row>
    <row r="1261" spans="1:8" x14ac:dyDescent="0.35">
      <c r="A1261" s="21"/>
      <c r="B1261" s="21"/>
      <c r="C1261" s="17"/>
      <c r="D1261" s="21"/>
      <c r="E1261" s="21"/>
      <c r="F1261" s="17"/>
      <c r="G1261" s="17"/>
      <c r="H1261" s="93"/>
    </row>
    <row r="1262" spans="1:8" x14ac:dyDescent="0.35">
      <c r="A1262" s="21"/>
      <c r="B1262" s="21"/>
      <c r="C1262" s="17"/>
      <c r="D1262" s="21"/>
      <c r="E1262" s="21"/>
      <c r="F1262" s="17"/>
      <c r="G1262" s="17"/>
      <c r="H1262" s="93"/>
    </row>
    <row r="1263" spans="1:8" x14ac:dyDescent="0.35">
      <c r="A1263" s="21"/>
      <c r="B1263" s="21"/>
      <c r="C1263" s="17"/>
      <c r="D1263" s="21"/>
      <c r="E1263" s="21"/>
      <c r="F1263" s="17"/>
      <c r="G1263" s="17"/>
      <c r="H1263" s="93"/>
    </row>
    <row r="1264" spans="1:8" x14ac:dyDescent="0.35">
      <c r="A1264" s="21"/>
      <c r="B1264" s="21"/>
      <c r="C1264" s="17"/>
      <c r="D1264" s="21"/>
      <c r="E1264" s="21"/>
      <c r="F1264" s="17"/>
      <c r="G1264" s="17"/>
      <c r="H1264" s="93"/>
    </row>
    <row r="1265" spans="1:8" x14ac:dyDescent="0.35">
      <c r="A1265" s="21"/>
      <c r="B1265" s="21"/>
      <c r="C1265" s="17"/>
      <c r="D1265" s="21"/>
      <c r="E1265" s="21"/>
      <c r="F1265" s="17"/>
      <c r="G1265" s="17"/>
      <c r="H1265" s="93"/>
    </row>
    <row r="1266" spans="1:8" x14ac:dyDescent="0.35">
      <c r="A1266" s="21"/>
      <c r="B1266" s="21"/>
      <c r="C1266" s="17"/>
      <c r="D1266" s="21"/>
      <c r="E1266" s="21"/>
      <c r="F1266" s="17"/>
      <c r="G1266" s="17"/>
      <c r="H1266" s="93"/>
    </row>
    <row r="1267" spans="1:8" x14ac:dyDescent="0.35">
      <c r="A1267" s="21"/>
      <c r="B1267" s="21"/>
      <c r="C1267" s="17"/>
      <c r="D1267" s="21"/>
      <c r="E1267" s="21"/>
      <c r="F1267" s="17"/>
      <c r="G1267" s="17"/>
      <c r="H1267" s="93"/>
    </row>
    <row r="1268" spans="1:8" x14ac:dyDescent="0.35">
      <c r="A1268" s="21"/>
      <c r="B1268" s="21"/>
      <c r="C1268" s="17"/>
      <c r="D1268" s="21"/>
      <c r="E1268" s="21"/>
      <c r="F1268" s="17"/>
      <c r="G1268" s="17"/>
      <c r="H1268" s="93"/>
    </row>
    <row r="1269" spans="1:8" x14ac:dyDescent="0.35">
      <c r="A1269" s="21"/>
      <c r="B1269" s="21"/>
      <c r="C1269" s="17"/>
      <c r="D1269" s="21"/>
      <c r="E1269" s="21"/>
      <c r="F1269" s="17"/>
      <c r="G1269" s="17"/>
      <c r="H1269" s="93"/>
    </row>
    <row r="1270" spans="1:8" x14ac:dyDescent="0.35">
      <c r="A1270" s="21"/>
      <c r="B1270" s="21"/>
      <c r="C1270" s="17"/>
      <c r="D1270" s="21"/>
      <c r="E1270" s="21"/>
      <c r="F1270" s="17"/>
      <c r="G1270" s="17"/>
      <c r="H1270" s="93"/>
    </row>
    <row r="1271" spans="1:8" x14ac:dyDescent="0.35">
      <c r="A1271" s="21"/>
      <c r="B1271" s="21"/>
      <c r="C1271" s="17"/>
      <c r="D1271" s="21"/>
      <c r="E1271" s="21"/>
      <c r="F1271" s="17"/>
      <c r="G1271" s="17"/>
      <c r="H1271" s="93"/>
    </row>
    <row r="1272" spans="1:8" x14ac:dyDescent="0.35">
      <c r="A1272" s="21"/>
      <c r="B1272" s="21"/>
      <c r="C1272" s="17"/>
      <c r="D1272" s="21"/>
      <c r="E1272" s="21"/>
      <c r="F1272" s="17"/>
      <c r="G1272" s="17"/>
      <c r="H1272" s="93"/>
    </row>
    <row r="1273" spans="1:8" x14ac:dyDescent="0.35">
      <c r="A1273" s="21"/>
      <c r="B1273" s="21"/>
      <c r="C1273" s="17"/>
      <c r="D1273" s="21"/>
      <c r="E1273" s="21"/>
      <c r="F1273" s="17"/>
      <c r="G1273" s="17"/>
      <c r="H1273" s="93"/>
    </row>
    <row r="1274" spans="1:8" x14ac:dyDescent="0.35">
      <c r="A1274" s="21"/>
      <c r="B1274" s="21"/>
      <c r="C1274" s="17"/>
      <c r="D1274" s="21"/>
      <c r="E1274" s="21"/>
      <c r="F1274" s="17"/>
      <c r="G1274" s="17"/>
      <c r="H1274" s="93"/>
    </row>
    <row r="1275" spans="1:8" x14ac:dyDescent="0.35">
      <c r="A1275" s="21"/>
      <c r="B1275" s="21"/>
      <c r="C1275" s="17"/>
      <c r="D1275" s="21"/>
      <c r="E1275" s="21"/>
      <c r="F1275" s="17"/>
      <c r="G1275" s="17"/>
      <c r="H1275" s="93"/>
    </row>
    <row r="1276" spans="1:8" x14ac:dyDescent="0.35">
      <c r="A1276" s="21"/>
      <c r="B1276" s="21"/>
      <c r="C1276" s="17"/>
      <c r="D1276" s="21"/>
      <c r="E1276" s="21"/>
      <c r="F1276" s="17"/>
      <c r="G1276" s="17"/>
      <c r="H1276" s="93"/>
    </row>
    <row r="1277" spans="1:8" x14ac:dyDescent="0.35">
      <c r="A1277" s="21"/>
      <c r="B1277" s="21"/>
      <c r="C1277" s="17"/>
      <c r="D1277" s="21"/>
      <c r="E1277" s="21"/>
      <c r="F1277" s="17"/>
      <c r="G1277" s="17"/>
      <c r="H1277" s="93"/>
    </row>
    <row r="1278" spans="1:8" x14ac:dyDescent="0.35">
      <c r="A1278" s="21"/>
      <c r="B1278" s="21"/>
      <c r="C1278" s="17"/>
      <c r="D1278" s="21"/>
      <c r="E1278" s="21"/>
      <c r="F1278" s="17"/>
      <c r="G1278" s="17"/>
      <c r="H1278" s="93"/>
    </row>
    <row r="1279" spans="1:8" x14ac:dyDescent="0.35">
      <c r="A1279" s="21"/>
      <c r="B1279" s="21"/>
      <c r="C1279" s="17"/>
      <c r="D1279" s="21"/>
      <c r="E1279" s="21"/>
      <c r="F1279" s="17"/>
      <c r="G1279" s="17"/>
      <c r="H1279" s="93"/>
    </row>
    <row r="1280" spans="1:8" x14ac:dyDescent="0.35">
      <c r="A1280" s="21"/>
      <c r="B1280" s="21"/>
      <c r="C1280" s="17"/>
      <c r="D1280" s="21"/>
      <c r="E1280" s="21"/>
      <c r="F1280" s="17"/>
      <c r="G1280" s="17"/>
      <c r="H1280" s="93"/>
    </row>
    <row r="1281" spans="1:8" x14ac:dyDescent="0.35">
      <c r="A1281" s="21"/>
      <c r="B1281" s="21"/>
      <c r="C1281" s="17"/>
      <c r="D1281" s="21"/>
      <c r="E1281" s="21"/>
      <c r="F1281" s="17"/>
      <c r="G1281" s="17"/>
      <c r="H1281" s="93"/>
    </row>
    <row r="1282" spans="1:8" x14ac:dyDescent="0.35">
      <c r="A1282" s="21"/>
      <c r="B1282" s="21"/>
      <c r="C1282" s="17"/>
      <c r="D1282" s="21"/>
      <c r="E1282" s="21"/>
      <c r="F1282" s="17"/>
      <c r="G1282" s="17"/>
      <c r="H1282" s="93"/>
    </row>
    <row r="1283" spans="1:8" x14ac:dyDescent="0.35">
      <c r="A1283" s="21"/>
      <c r="B1283" s="21"/>
      <c r="C1283" s="17"/>
      <c r="D1283" s="21"/>
      <c r="E1283" s="21"/>
      <c r="F1283" s="17"/>
      <c r="G1283" s="17"/>
      <c r="H1283" s="93"/>
    </row>
    <row r="1284" spans="1:8" x14ac:dyDescent="0.35">
      <c r="A1284" s="21"/>
      <c r="B1284" s="21"/>
      <c r="C1284" s="17"/>
      <c r="D1284" s="21"/>
      <c r="E1284" s="21"/>
      <c r="F1284" s="17"/>
      <c r="G1284" s="17"/>
      <c r="H1284" s="93"/>
    </row>
    <row r="1285" spans="1:8" x14ac:dyDescent="0.35">
      <c r="A1285" s="21"/>
      <c r="B1285" s="21"/>
      <c r="C1285" s="17"/>
      <c r="D1285" s="21"/>
      <c r="E1285" s="21"/>
      <c r="F1285" s="17"/>
      <c r="G1285" s="17"/>
      <c r="H1285" s="93"/>
    </row>
    <row r="1286" spans="1:8" x14ac:dyDescent="0.35">
      <c r="A1286" s="21"/>
      <c r="B1286" s="21"/>
      <c r="C1286" s="17"/>
      <c r="D1286" s="21"/>
      <c r="E1286" s="21"/>
      <c r="F1286" s="17"/>
      <c r="G1286" s="17"/>
      <c r="H1286" s="93"/>
    </row>
    <row r="1287" spans="1:8" x14ac:dyDescent="0.35">
      <c r="A1287" s="21"/>
      <c r="B1287" s="21"/>
      <c r="C1287" s="17"/>
      <c r="D1287" s="21"/>
      <c r="E1287" s="21"/>
      <c r="F1287" s="17"/>
      <c r="G1287" s="17"/>
      <c r="H1287" s="93"/>
    </row>
    <row r="1288" spans="1:8" x14ac:dyDescent="0.35">
      <c r="A1288" s="21"/>
      <c r="B1288" s="21"/>
      <c r="C1288" s="17"/>
      <c r="D1288" s="21"/>
      <c r="E1288" s="21"/>
      <c r="F1288" s="17"/>
      <c r="G1288" s="17"/>
      <c r="H1288" s="93"/>
    </row>
    <row r="1289" spans="1:8" x14ac:dyDescent="0.35">
      <c r="A1289" s="21"/>
      <c r="B1289" s="21"/>
      <c r="C1289" s="17"/>
      <c r="D1289" s="21"/>
      <c r="E1289" s="21"/>
      <c r="F1289" s="17"/>
      <c r="G1289" s="17"/>
      <c r="H1289" s="93"/>
    </row>
    <row r="1290" spans="1:8" x14ac:dyDescent="0.35">
      <c r="A1290" s="21"/>
      <c r="B1290" s="21"/>
      <c r="C1290" s="17"/>
      <c r="D1290" s="21"/>
      <c r="E1290" s="21"/>
      <c r="F1290" s="17"/>
      <c r="G1290" s="17"/>
      <c r="H1290" s="93"/>
    </row>
    <row r="1291" spans="1:8" x14ac:dyDescent="0.35">
      <c r="A1291" s="21"/>
      <c r="B1291" s="21"/>
      <c r="C1291" s="17"/>
      <c r="D1291" s="21"/>
      <c r="E1291" s="21"/>
      <c r="F1291" s="17"/>
      <c r="G1291" s="17"/>
      <c r="H1291" s="93"/>
    </row>
    <row r="1292" spans="1:8" x14ac:dyDescent="0.35">
      <c r="A1292" s="21"/>
      <c r="B1292" s="21"/>
      <c r="C1292" s="17"/>
      <c r="D1292" s="21"/>
      <c r="E1292" s="21"/>
      <c r="F1292" s="17"/>
      <c r="G1292" s="17"/>
      <c r="H1292" s="93"/>
    </row>
    <row r="1293" spans="1:8" x14ac:dyDescent="0.35">
      <c r="A1293" s="21"/>
      <c r="B1293" s="21"/>
      <c r="C1293" s="17"/>
      <c r="D1293" s="21"/>
      <c r="E1293" s="21"/>
      <c r="F1293" s="17"/>
      <c r="G1293" s="17"/>
      <c r="H1293" s="93"/>
    </row>
    <row r="1294" spans="1:8" x14ac:dyDescent="0.35">
      <c r="A1294" s="21"/>
      <c r="B1294" s="21"/>
      <c r="C1294" s="17"/>
      <c r="D1294" s="21"/>
      <c r="E1294" s="21"/>
      <c r="F1294" s="17"/>
      <c r="G1294" s="17"/>
      <c r="H1294" s="93"/>
    </row>
    <row r="1295" spans="1:8" x14ac:dyDescent="0.35">
      <c r="A1295" s="21"/>
      <c r="B1295" s="21"/>
      <c r="C1295" s="17"/>
      <c r="D1295" s="21"/>
      <c r="E1295" s="21"/>
      <c r="F1295" s="17"/>
      <c r="G1295" s="17"/>
      <c r="H1295" s="93"/>
    </row>
    <row r="1296" spans="1:8" x14ac:dyDescent="0.35">
      <c r="A1296" s="21"/>
      <c r="B1296" s="21"/>
      <c r="C1296" s="17"/>
      <c r="D1296" s="21"/>
      <c r="E1296" s="21"/>
      <c r="F1296" s="17"/>
      <c r="G1296" s="17"/>
      <c r="H1296" s="93"/>
    </row>
    <row r="1297" spans="1:8" x14ac:dyDescent="0.35">
      <c r="A1297" s="21"/>
      <c r="B1297" s="21"/>
      <c r="C1297" s="17"/>
      <c r="D1297" s="21"/>
      <c r="E1297" s="21"/>
      <c r="F1297" s="17"/>
      <c r="G1297" s="17"/>
      <c r="H1297" s="93"/>
    </row>
    <row r="1298" spans="1:8" x14ac:dyDescent="0.35">
      <c r="A1298" s="21"/>
      <c r="B1298" s="21"/>
      <c r="C1298" s="17"/>
      <c r="D1298" s="21"/>
      <c r="E1298" s="21"/>
      <c r="F1298" s="17"/>
      <c r="G1298" s="17"/>
      <c r="H1298" s="93"/>
    </row>
    <row r="1299" spans="1:8" x14ac:dyDescent="0.35">
      <c r="A1299" s="21"/>
      <c r="B1299" s="21"/>
      <c r="C1299" s="17"/>
      <c r="D1299" s="21"/>
      <c r="E1299" s="21"/>
      <c r="F1299" s="17"/>
      <c r="G1299" s="17"/>
      <c r="H1299" s="93"/>
    </row>
    <row r="1300" spans="1:8" x14ac:dyDescent="0.35">
      <c r="A1300" s="21"/>
      <c r="B1300" s="21"/>
      <c r="C1300" s="17"/>
      <c r="D1300" s="21"/>
      <c r="E1300" s="21"/>
      <c r="F1300" s="17"/>
      <c r="G1300" s="17"/>
      <c r="H1300" s="93"/>
    </row>
    <row r="1301" spans="1:8" x14ac:dyDescent="0.35">
      <c r="A1301" s="21"/>
      <c r="B1301" s="21"/>
      <c r="C1301" s="17"/>
      <c r="D1301" s="21"/>
      <c r="E1301" s="21"/>
      <c r="F1301" s="17"/>
      <c r="G1301" s="17"/>
      <c r="H1301" s="93"/>
    </row>
    <row r="1302" spans="1:8" x14ac:dyDescent="0.35">
      <c r="A1302" s="21"/>
      <c r="B1302" s="21"/>
      <c r="C1302" s="17"/>
      <c r="D1302" s="21"/>
      <c r="E1302" s="21"/>
      <c r="F1302" s="17"/>
      <c r="G1302" s="17"/>
      <c r="H1302" s="93"/>
    </row>
    <row r="1303" spans="1:8" x14ac:dyDescent="0.35">
      <c r="A1303" s="21"/>
      <c r="B1303" s="21"/>
      <c r="C1303" s="17"/>
      <c r="D1303" s="21"/>
      <c r="E1303" s="21"/>
      <c r="F1303" s="17"/>
      <c r="G1303" s="17"/>
      <c r="H1303" s="93"/>
    </row>
    <row r="1304" spans="1:8" x14ac:dyDescent="0.35">
      <c r="A1304" s="21"/>
      <c r="B1304" s="21"/>
      <c r="C1304" s="17"/>
      <c r="D1304" s="21"/>
      <c r="E1304" s="21"/>
      <c r="F1304" s="17"/>
      <c r="G1304" s="17"/>
      <c r="H1304" s="93"/>
    </row>
    <row r="1305" spans="1:8" x14ac:dyDescent="0.35">
      <c r="A1305" s="21"/>
      <c r="B1305" s="21"/>
      <c r="C1305" s="17"/>
      <c r="D1305" s="21"/>
      <c r="E1305" s="21"/>
      <c r="F1305" s="17"/>
      <c r="G1305" s="17"/>
      <c r="H1305" s="93"/>
    </row>
    <row r="1306" spans="1:8" x14ac:dyDescent="0.35">
      <c r="A1306" s="21"/>
      <c r="B1306" s="21"/>
      <c r="C1306" s="17"/>
      <c r="D1306" s="21"/>
      <c r="E1306" s="21"/>
      <c r="F1306" s="17"/>
      <c r="G1306" s="17"/>
      <c r="H1306" s="93"/>
    </row>
    <row r="1307" spans="1:8" x14ac:dyDescent="0.35">
      <c r="A1307" s="21"/>
      <c r="B1307" s="21"/>
      <c r="C1307" s="17"/>
      <c r="D1307" s="21"/>
      <c r="E1307" s="21"/>
      <c r="F1307" s="17"/>
      <c r="G1307" s="17"/>
      <c r="H1307" s="93"/>
    </row>
    <row r="1308" spans="1:8" x14ac:dyDescent="0.35">
      <c r="A1308" s="21"/>
      <c r="B1308" s="21"/>
      <c r="C1308" s="17"/>
      <c r="D1308" s="21"/>
      <c r="E1308" s="21"/>
      <c r="F1308" s="17"/>
      <c r="G1308" s="17"/>
      <c r="H1308" s="93"/>
    </row>
    <row r="1309" spans="1:8" x14ac:dyDescent="0.35">
      <c r="A1309" s="21"/>
      <c r="B1309" s="21"/>
      <c r="C1309" s="17"/>
      <c r="D1309" s="21"/>
      <c r="E1309" s="21"/>
      <c r="F1309" s="17"/>
      <c r="G1309" s="17"/>
      <c r="H1309" s="93"/>
    </row>
    <row r="1310" spans="1:8" x14ac:dyDescent="0.35">
      <c r="A1310" s="21"/>
      <c r="B1310" s="21"/>
      <c r="C1310" s="17"/>
      <c r="D1310" s="21"/>
      <c r="E1310" s="21"/>
      <c r="F1310" s="17"/>
      <c r="G1310" s="17"/>
      <c r="H1310" s="93"/>
    </row>
    <row r="1311" spans="1:8" x14ac:dyDescent="0.35">
      <c r="A1311" s="21"/>
      <c r="B1311" s="21"/>
      <c r="C1311" s="17"/>
      <c r="D1311" s="21"/>
      <c r="E1311" s="21"/>
      <c r="F1311" s="17"/>
      <c r="G1311" s="17"/>
      <c r="H1311" s="93"/>
    </row>
    <row r="1312" spans="1:8" x14ac:dyDescent="0.35">
      <c r="A1312" s="21"/>
      <c r="B1312" s="21"/>
      <c r="C1312" s="17"/>
      <c r="D1312" s="21"/>
      <c r="E1312" s="21"/>
      <c r="F1312" s="17"/>
      <c r="G1312" s="17"/>
      <c r="H1312" s="93"/>
    </row>
    <row r="1313" spans="1:8" x14ac:dyDescent="0.35">
      <c r="A1313" s="21"/>
      <c r="B1313" s="21"/>
      <c r="C1313" s="17"/>
      <c r="D1313" s="21"/>
      <c r="E1313" s="21"/>
      <c r="F1313" s="17"/>
      <c r="G1313" s="17"/>
      <c r="H1313" s="93"/>
    </row>
    <row r="1314" spans="1:8" x14ac:dyDescent="0.35">
      <c r="A1314" s="21"/>
      <c r="B1314" s="21"/>
      <c r="C1314" s="17"/>
      <c r="D1314" s="21"/>
      <c r="E1314" s="21"/>
      <c r="F1314" s="17"/>
      <c r="G1314" s="17"/>
      <c r="H1314" s="93"/>
    </row>
    <row r="1315" spans="1:8" x14ac:dyDescent="0.35">
      <c r="A1315" s="21"/>
      <c r="B1315" s="21"/>
      <c r="C1315" s="17"/>
      <c r="D1315" s="21"/>
      <c r="E1315" s="21"/>
      <c r="F1315" s="17"/>
      <c r="G1315" s="17"/>
      <c r="H1315" s="93"/>
    </row>
    <row r="1316" spans="1:8" x14ac:dyDescent="0.35">
      <c r="A1316" s="21"/>
      <c r="B1316" s="21"/>
      <c r="C1316" s="17"/>
      <c r="D1316" s="21"/>
      <c r="E1316" s="21"/>
      <c r="F1316" s="17"/>
      <c r="G1316" s="17"/>
      <c r="H1316" s="93"/>
    </row>
    <row r="1317" spans="1:8" x14ac:dyDescent="0.35">
      <c r="A1317" s="21"/>
      <c r="B1317" s="21"/>
      <c r="C1317" s="17"/>
      <c r="D1317" s="21"/>
      <c r="E1317" s="21"/>
      <c r="F1317" s="17"/>
      <c r="G1317" s="17"/>
      <c r="H1317" s="93"/>
    </row>
    <row r="1318" spans="1:8" x14ac:dyDescent="0.35">
      <c r="A1318" s="21"/>
      <c r="B1318" s="21"/>
      <c r="C1318" s="17"/>
      <c r="D1318" s="21"/>
      <c r="E1318" s="21"/>
      <c r="F1318" s="17"/>
      <c r="G1318" s="17"/>
      <c r="H1318" s="93"/>
    </row>
    <row r="1319" spans="1:8" x14ac:dyDescent="0.35">
      <c r="A1319" s="21"/>
      <c r="B1319" s="21"/>
      <c r="C1319" s="17"/>
      <c r="D1319" s="21"/>
      <c r="E1319" s="21"/>
      <c r="F1319" s="17"/>
      <c r="G1319" s="17"/>
      <c r="H1319" s="93"/>
    </row>
    <row r="1320" spans="1:8" x14ac:dyDescent="0.35">
      <c r="A1320" s="21"/>
      <c r="B1320" s="21"/>
      <c r="C1320" s="17"/>
      <c r="D1320" s="21"/>
      <c r="E1320" s="21"/>
      <c r="F1320" s="17"/>
      <c r="G1320" s="17"/>
      <c r="H1320" s="93"/>
    </row>
    <row r="1321" spans="1:8" x14ac:dyDescent="0.35">
      <c r="A1321" s="21"/>
      <c r="B1321" s="21"/>
      <c r="C1321" s="17"/>
      <c r="D1321" s="21"/>
      <c r="E1321" s="21"/>
      <c r="F1321" s="17"/>
      <c r="G1321" s="17"/>
      <c r="H1321" s="93"/>
    </row>
    <row r="1322" spans="1:8" x14ac:dyDescent="0.35">
      <c r="A1322" s="21"/>
      <c r="B1322" s="21"/>
      <c r="C1322" s="17"/>
      <c r="D1322" s="21"/>
      <c r="E1322" s="21"/>
      <c r="F1322" s="17"/>
      <c r="G1322" s="17"/>
      <c r="H1322" s="93"/>
    </row>
    <row r="1323" spans="1:8" x14ac:dyDescent="0.35">
      <c r="A1323" s="21"/>
      <c r="B1323" s="21"/>
      <c r="C1323" s="17"/>
      <c r="D1323" s="21"/>
      <c r="E1323" s="21"/>
      <c r="F1323" s="17"/>
      <c r="G1323" s="17"/>
      <c r="H1323" s="93"/>
    </row>
    <row r="1324" spans="1:8" x14ac:dyDescent="0.35">
      <c r="A1324" s="21"/>
      <c r="B1324" s="21"/>
      <c r="C1324" s="17"/>
      <c r="D1324" s="21"/>
      <c r="E1324" s="21"/>
      <c r="F1324" s="17"/>
      <c r="G1324" s="17"/>
      <c r="H1324" s="93"/>
    </row>
    <row r="1325" spans="1:8" x14ac:dyDescent="0.35">
      <c r="A1325" s="21"/>
      <c r="B1325" s="21"/>
      <c r="C1325" s="17"/>
      <c r="D1325" s="21"/>
      <c r="E1325" s="21"/>
      <c r="F1325" s="17"/>
      <c r="G1325" s="17"/>
      <c r="H1325" s="93"/>
    </row>
    <row r="1326" spans="1:8" x14ac:dyDescent="0.35">
      <c r="A1326" s="21"/>
      <c r="B1326" s="21"/>
      <c r="C1326" s="17"/>
      <c r="D1326" s="21"/>
      <c r="E1326" s="21"/>
      <c r="F1326" s="17"/>
      <c r="G1326" s="17"/>
      <c r="H1326" s="93"/>
    </row>
    <row r="1327" spans="1:8" x14ac:dyDescent="0.35">
      <c r="A1327" s="21"/>
      <c r="B1327" s="21"/>
      <c r="C1327" s="17"/>
      <c r="D1327" s="21"/>
      <c r="E1327" s="21"/>
      <c r="F1327" s="17"/>
      <c r="G1327" s="17"/>
      <c r="H1327" s="93"/>
    </row>
    <row r="1328" spans="1:8" x14ac:dyDescent="0.35">
      <c r="A1328" s="21"/>
      <c r="B1328" s="21"/>
      <c r="C1328" s="17"/>
      <c r="D1328" s="21"/>
      <c r="E1328" s="21"/>
      <c r="F1328" s="17"/>
      <c r="G1328" s="17"/>
      <c r="H1328" s="93"/>
    </row>
    <row r="1329" spans="1:8" x14ac:dyDescent="0.35">
      <c r="A1329" s="21"/>
      <c r="B1329" s="21"/>
      <c r="C1329" s="17"/>
      <c r="D1329" s="21"/>
      <c r="E1329" s="21"/>
      <c r="F1329" s="17"/>
      <c r="G1329" s="17"/>
      <c r="H1329" s="93"/>
    </row>
    <row r="1330" spans="1:8" x14ac:dyDescent="0.35">
      <c r="A1330" s="21"/>
      <c r="B1330" s="21"/>
      <c r="C1330" s="17"/>
      <c r="D1330" s="21"/>
      <c r="E1330" s="21"/>
      <c r="F1330" s="17"/>
      <c r="G1330" s="17"/>
      <c r="H1330" s="93"/>
    </row>
    <row r="1331" spans="1:8" x14ac:dyDescent="0.35">
      <c r="A1331" s="21"/>
      <c r="B1331" s="21"/>
      <c r="C1331" s="17"/>
      <c r="D1331" s="21"/>
      <c r="E1331" s="21"/>
      <c r="F1331" s="17"/>
      <c r="G1331" s="17"/>
      <c r="H1331" s="93"/>
    </row>
    <row r="1332" spans="1:8" x14ac:dyDescent="0.35">
      <c r="A1332" s="21"/>
      <c r="B1332" s="21"/>
      <c r="C1332" s="17"/>
      <c r="D1332" s="21"/>
      <c r="E1332" s="21"/>
      <c r="F1332" s="17"/>
      <c r="G1332" s="17"/>
      <c r="H1332" s="93"/>
    </row>
    <row r="1333" spans="1:8" x14ac:dyDescent="0.35">
      <c r="A1333" s="21"/>
      <c r="B1333" s="21"/>
      <c r="C1333" s="17"/>
      <c r="D1333" s="21"/>
      <c r="E1333" s="21"/>
      <c r="F1333" s="17"/>
      <c r="G1333" s="17"/>
      <c r="H1333" s="93"/>
    </row>
    <row r="1334" spans="1:8" x14ac:dyDescent="0.35">
      <c r="A1334" s="21"/>
      <c r="B1334" s="21"/>
      <c r="C1334" s="17"/>
      <c r="D1334" s="21"/>
      <c r="E1334" s="21"/>
      <c r="F1334" s="17"/>
      <c r="G1334" s="17"/>
      <c r="H1334" s="93"/>
    </row>
    <row r="1335" spans="1:8" x14ac:dyDescent="0.35">
      <c r="A1335" s="21"/>
      <c r="B1335" s="21"/>
      <c r="C1335" s="17"/>
      <c r="D1335" s="21"/>
      <c r="E1335" s="21"/>
      <c r="F1335" s="17"/>
      <c r="G1335" s="17"/>
      <c r="H1335" s="93"/>
    </row>
    <row r="1336" spans="1:8" x14ac:dyDescent="0.35">
      <c r="A1336" s="21"/>
      <c r="B1336" s="21"/>
      <c r="C1336" s="17"/>
      <c r="D1336" s="21"/>
      <c r="E1336" s="21"/>
      <c r="F1336" s="17"/>
      <c r="G1336" s="17"/>
      <c r="H1336" s="93"/>
    </row>
    <row r="1337" spans="1:8" x14ac:dyDescent="0.35">
      <c r="A1337" s="21"/>
      <c r="B1337" s="21"/>
      <c r="C1337" s="17"/>
      <c r="D1337" s="21"/>
      <c r="E1337" s="21"/>
      <c r="F1337" s="17"/>
      <c r="G1337" s="17"/>
      <c r="H1337" s="93"/>
    </row>
    <row r="1338" spans="1:8" x14ac:dyDescent="0.35">
      <c r="A1338" s="21"/>
      <c r="B1338" s="21"/>
      <c r="C1338" s="17"/>
      <c r="D1338" s="21"/>
      <c r="E1338" s="21"/>
      <c r="F1338" s="17"/>
      <c r="G1338" s="17"/>
      <c r="H1338" s="93"/>
    </row>
    <row r="1339" spans="1:8" x14ac:dyDescent="0.35">
      <c r="A1339" s="21"/>
      <c r="B1339" s="21"/>
      <c r="C1339" s="17"/>
      <c r="D1339" s="21"/>
      <c r="E1339" s="21"/>
      <c r="F1339" s="17"/>
      <c r="G1339" s="17"/>
      <c r="H1339" s="93"/>
    </row>
    <row r="1340" spans="1:8" x14ac:dyDescent="0.35">
      <c r="A1340" s="21"/>
      <c r="B1340" s="21"/>
      <c r="C1340" s="17"/>
      <c r="D1340" s="21"/>
      <c r="E1340" s="21"/>
      <c r="F1340" s="17"/>
      <c r="G1340" s="17"/>
      <c r="H1340" s="93"/>
    </row>
    <row r="1341" spans="1:8" x14ac:dyDescent="0.35">
      <c r="A1341" s="21"/>
      <c r="B1341" s="21"/>
      <c r="C1341" s="17"/>
      <c r="D1341" s="21"/>
      <c r="E1341" s="21"/>
      <c r="F1341" s="17"/>
      <c r="G1341" s="17"/>
      <c r="H1341" s="93"/>
    </row>
    <row r="1342" spans="1:8" x14ac:dyDescent="0.35">
      <c r="A1342" s="21"/>
      <c r="B1342" s="21"/>
      <c r="C1342" s="17"/>
      <c r="D1342" s="21"/>
      <c r="E1342" s="21"/>
      <c r="F1342" s="17"/>
      <c r="G1342" s="17"/>
      <c r="H1342" s="93"/>
    </row>
    <row r="1343" spans="1:8" x14ac:dyDescent="0.35">
      <c r="A1343" s="21"/>
      <c r="B1343" s="21"/>
      <c r="C1343" s="17"/>
      <c r="D1343" s="21"/>
      <c r="E1343" s="21"/>
      <c r="F1343" s="17"/>
      <c r="G1343" s="17"/>
      <c r="H1343" s="93"/>
    </row>
    <row r="1344" spans="1:8" x14ac:dyDescent="0.35">
      <c r="A1344" s="21"/>
      <c r="B1344" s="21"/>
      <c r="C1344" s="17"/>
      <c r="D1344" s="21"/>
      <c r="E1344" s="21"/>
      <c r="F1344" s="17"/>
      <c r="G1344" s="17"/>
      <c r="H1344" s="93"/>
    </row>
    <row r="1345" spans="1:8" x14ac:dyDescent="0.35">
      <c r="A1345" s="21"/>
      <c r="B1345" s="21"/>
      <c r="C1345" s="17"/>
      <c r="D1345" s="21"/>
      <c r="E1345" s="21"/>
      <c r="F1345" s="17"/>
      <c r="G1345" s="17"/>
      <c r="H1345" s="93"/>
    </row>
    <row r="1346" spans="1:8" x14ac:dyDescent="0.35">
      <c r="A1346" s="21"/>
      <c r="B1346" s="21"/>
      <c r="C1346" s="17"/>
      <c r="D1346" s="21"/>
      <c r="E1346" s="21"/>
      <c r="F1346" s="17"/>
      <c r="G1346" s="17"/>
      <c r="H1346" s="93"/>
    </row>
    <row r="1347" spans="1:8" x14ac:dyDescent="0.35">
      <c r="A1347" s="21"/>
      <c r="B1347" s="21"/>
      <c r="C1347" s="17"/>
      <c r="D1347" s="21"/>
      <c r="E1347" s="21"/>
      <c r="F1347" s="17"/>
      <c r="G1347" s="17"/>
      <c r="H1347" s="93"/>
    </row>
    <row r="1348" spans="1:8" x14ac:dyDescent="0.35">
      <c r="A1348" s="21"/>
      <c r="B1348" s="21"/>
      <c r="C1348" s="17"/>
      <c r="D1348" s="21"/>
      <c r="E1348" s="21"/>
      <c r="F1348" s="17"/>
      <c r="G1348" s="17"/>
      <c r="H1348" s="93"/>
    </row>
    <row r="1349" spans="1:8" x14ac:dyDescent="0.35">
      <c r="A1349" s="21"/>
      <c r="B1349" s="21"/>
      <c r="C1349" s="17"/>
      <c r="D1349" s="21"/>
      <c r="E1349" s="21"/>
      <c r="F1349" s="17"/>
      <c r="G1349" s="17"/>
      <c r="H1349" s="93"/>
    </row>
    <row r="1350" spans="1:8" x14ac:dyDescent="0.35">
      <c r="A1350" s="21"/>
      <c r="B1350" s="21"/>
      <c r="C1350" s="17"/>
      <c r="D1350" s="21"/>
      <c r="E1350" s="21"/>
      <c r="F1350" s="17"/>
      <c r="G1350" s="17"/>
      <c r="H1350" s="93"/>
    </row>
    <row r="1351" spans="1:8" x14ac:dyDescent="0.35">
      <c r="A1351" s="21"/>
      <c r="B1351" s="21"/>
      <c r="C1351" s="17"/>
      <c r="D1351" s="21"/>
      <c r="E1351" s="21"/>
      <c r="F1351" s="17"/>
      <c r="G1351" s="17"/>
      <c r="H1351" s="93"/>
    </row>
    <row r="1352" spans="1:8" x14ac:dyDescent="0.35">
      <c r="A1352" s="21"/>
      <c r="B1352" s="21"/>
      <c r="C1352" s="17"/>
      <c r="D1352" s="21"/>
      <c r="E1352" s="21"/>
      <c r="F1352" s="17"/>
      <c r="G1352" s="17"/>
      <c r="H1352" s="93"/>
    </row>
    <row r="1353" spans="1:8" x14ac:dyDescent="0.35">
      <c r="A1353" s="21"/>
      <c r="B1353" s="21"/>
      <c r="C1353" s="17"/>
      <c r="D1353" s="21"/>
      <c r="E1353" s="21"/>
      <c r="F1353" s="17"/>
      <c r="G1353" s="17"/>
      <c r="H1353" s="93"/>
    </row>
    <row r="1354" spans="1:8" x14ac:dyDescent="0.35">
      <c r="A1354" s="21"/>
      <c r="B1354" s="21"/>
      <c r="C1354" s="17"/>
      <c r="D1354" s="21"/>
      <c r="E1354" s="21"/>
      <c r="F1354" s="17"/>
      <c r="G1354" s="17"/>
      <c r="H1354" s="93"/>
    </row>
    <row r="1355" spans="1:8" x14ac:dyDescent="0.35">
      <c r="A1355" s="21"/>
      <c r="B1355" s="21"/>
      <c r="C1355" s="17"/>
      <c r="D1355" s="21"/>
      <c r="E1355" s="21"/>
      <c r="F1355" s="17"/>
      <c r="G1355" s="17"/>
      <c r="H1355" s="93"/>
    </row>
    <row r="1356" spans="1:8" x14ac:dyDescent="0.35">
      <c r="A1356" s="21"/>
      <c r="B1356" s="21"/>
      <c r="C1356" s="17"/>
      <c r="D1356" s="21"/>
      <c r="E1356" s="21"/>
      <c r="F1356" s="17"/>
      <c r="G1356" s="17"/>
      <c r="H1356" s="93"/>
    </row>
    <row r="1357" spans="1:8" x14ac:dyDescent="0.35">
      <c r="A1357" s="21"/>
      <c r="B1357" s="21"/>
      <c r="C1357" s="17"/>
      <c r="D1357" s="21"/>
      <c r="E1357" s="21"/>
      <c r="F1357" s="17"/>
      <c r="G1357" s="17"/>
      <c r="H1357" s="93"/>
    </row>
    <row r="1358" spans="1:8" x14ac:dyDescent="0.35">
      <c r="A1358" s="21"/>
      <c r="B1358" s="21"/>
      <c r="C1358" s="17"/>
      <c r="D1358" s="21"/>
      <c r="E1358" s="21"/>
      <c r="F1358" s="17"/>
      <c r="G1358" s="17"/>
      <c r="H1358" s="93"/>
    </row>
    <row r="1359" spans="1:8" x14ac:dyDescent="0.35">
      <c r="A1359" s="21"/>
      <c r="B1359" s="21"/>
      <c r="C1359" s="17"/>
      <c r="D1359" s="21"/>
      <c r="E1359" s="21"/>
      <c r="F1359" s="17"/>
      <c r="G1359" s="17"/>
      <c r="H1359" s="93"/>
    </row>
    <row r="1360" spans="1:8" x14ac:dyDescent="0.35">
      <c r="A1360" s="21"/>
      <c r="B1360" s="21"/>
      <c r="C1360" s="17"/>
      <c r="D1360" s="21"/>
      <c r="E1360" s="21"/>
      <c r="F1360" s="17"/>
      <c r="G1360" s="17"/>
      <c r="H1360" s="93"/>
    </row>
    <row r="1361" spans="1:8" x14ac:dyDescent="0.35">
      <c r="A1361" s="21"/>
      <c r="B1361" s="21"/>
      <c r="C1361" s="17"/>
      <c r="D1361" s="21"/>
      <c r="E1361" s="21"/>
      <c r="F1361" s="17"/>
      <c r="G1361" s="17"/>
      <c r="H1361" s="93"/>
    </row>
    <row r="1362" spans="1:8" x14ac:dyDescent="0.35">
      <c r="A1362" s="21"/>
      <c r="B1362" s="21"/>
      <c r="C1362" s="17"/>
      <c r="D1362" s="21"/>
      <c r="E1362" s="21"/>
      <c r="F1362" s="17"/>
      <c r="G1362" s="17"/>
      <c r="H1362" s="93"/>
    </row>
    <row r="1363" spans="1:8" x14ac:dyDescent="0.35">
      <c r="A1363" s="21"/>
      <c r="B1363" s="21"/>
      <c r="C1363" s="17"/>
      <c r="D1363" s="21"/>
      <c r="E1363" s="21"/>
      <c r="F1363" s="17"/>
      <c r="G1363" s="17"/>
      <c r="H1363" s="93"/>
    </row>
    <row r="1364" spans="1:8" x14ac:dyDescent="0.35">
      <c r="A1364" s="21"/>
      <c r="B1364" s="21"/>
      <c r="C1364" s="17"/>
      <c r="D1364" s="21"/>
      <c r="E1364" s="21"/>
      <c r="F1364" s="17"/>
      <c r="G1364" s="17"/>
      <c r="H1364" s="93"/>
    </row>
    <row r="1365" spans="1:8" x14ac:dyDescent="0.35">
      <c r="A1365" s="21"/>
      <c r="B1365" s="21"/>
      <c r="C1365" s="17"/>
      <c r="D1365" s="21"/>
      <c r="E1365" s="21"/>
      <c r="F1365" s="17"/>
      <c r="G1365" s="17"/>
      <c r="H1365" s="93"/>
    </row>
    <row r="1366" spans="1:8" x14ac:dyDescent="0.35">
      <c r="A1366" s="21"/>
      <c r="B1366" s="21"/>
      <c r="C1366" s="17"/>
      <c r="D1366" s="21"/>
      <c r="E1366" s="21"/>
      <c r="F1366" s="17"/>
      <c r="G1366" s="17"/>
      <c r="H1366" s="93"/>
    </row>
    <row r="1367" spans="1:8" x14ac:dyDescent="0.35">
      <c r="A1367" s="21"/>
      <c r="B1367" s="21"/>
      <c r="C1367" s="17"/>
      <c r="D1367" s="21"/>
      <c r="E1367" s="21"/>
      <c r="F1367" s="17"/>
      <c r="G1367" s="17"/>
      <c r="H1367" s="93"/>
    </row>
    <row r="1368" spans="1:8" x14ac:dyDescent="0.35">
      <c r="A1368" s="21"/>
      <c r="B1368" s="21"/>
      <c r="C1368" s="17"/>
      <c r="D1368" s="21"/>
      <c r="E1368" s="21"/>
      <c r="F1368" s="17"/>
      <c r="G1368" s="17"/>
      <c r="H1368" s="93"/>
    </row>
    <row r="1369" spans="1:8" x14ac:dyDescent="0.35">
      <c r="A1369" s="21"/>
      <c r="B1369" s="21"/>
      <c r="C1369" s="17"/>
      <c r="D1369" s="21"/>
      <c r="E1369" s="21"/>
      <c r="F1369" s="17"/>
      <c r="G1369" s="17"/>
      <c r="H1369" s="93"/>
    </row>
    <row r="1370" spans="1:8" x14ac:dyDescent="0.35">
      <c r="A1370" s="21"/>
      <c r="B1370" s="21"/>
      <c r="C1370" s="17"/>
      <c r="D1370" s="21"/>
      <c r="E1370" s="21"/>
      <c r="F1370" s="17"/>
      <c r="G1370" s="17"/>
      <c r="H1370" s="93"/>
    </row>
    <row r="1371" spans="1:8" x14ac:dyDescent="0.35">
      <c r="A1371" s="21"/>
      <c r="B1371" s="21"/>
      <c r="C1371" s="17"/>
      <c r="D1371" s="21"/>
      <c r="E1371" s="21"/>
      <c r="F1371" s="17"/>
      <c r="G1371" s="17"/>
      <c r="H1371" s="93"/>
    </row>
    <row r="1372" spans="1:8" x14ac:dyDescent="0.35">
      <c r="A1372" s="21"/>
      <c r="B1372" s="21"/>
      <c r="C1372" s="17"/>
      <c r="D1372" s="21"/>
      <c r="E1372" s="21"/>
      <c r="F1372" s="17"/>
      <c r="G1372" s="17"/>
      <c r="H1372" s="93"/>
    </row>
    <row r="1373" spans="1:8" x14ac:dyDescent="0.35">
      <c r="A1373" s="21"/>
      <c r="B1373" s="21"/>
      <c r="C1373" s="17"/>
      <c r="D1373" s="21"/>
      <c r="E1373" s="21"/>
      <c r="F1373" s="17"/>
      <c r="G1373" s="17"/>
      <c r="H1373" s="93"/>
    </row>
    <row r="1374" spans="1:8" x14ac:dyDescent="0.35">
      <c r="A1374" s="21"/>
      <c r="B1374" s="21"/>
      <c r="C1374" s="17"/>
      <c r="D1374" s="21"/>
      <c r="E1374" s="21"/>
      <c r="F1374" s="17"/>
      <c r="G1374" s="17"/>
      <c r="H1374" s="93"/>
    </row>
    <row r="1375" spans="1:8" x14ac:dyDescent="0.35">
      <c r="A1375" s="21"/>
      <c r="B1375" s="21"/>
      <c r="C1375" s="17"/>
      <c r="D1375" s="21"/>
      <c r="E1375" s="21"/>
      <c r="F1375" s="17"/>
      <c r="G1375" s="17"/>
      <c r="H1375" s="93"/>
    </row>
    <row r="1376" spans="1:8" x14ac:dyDescent="0.35">
      <c r="A1376" s="21"/>
      <c r="B1376" s="21"/>
      <c r="C1376" s="17"/>
      <c r="D1376" s="21"/>
      <c r="E1376" s="21"/>
      <c r="F1376" s="17"/>
      <c r="G1376" s="17"/>
      <c r="H1376" s="93"/>
    </row>
    <row r="1377" spans="1:8" x14ac:dyDescent="0.35">
      <c r="A1377" s="21"/>
      <c r="B1377" s="21"/>
      <c r="C1377" s="17"/>
      <c r="D1377" s="21"/>
      <c r="E1377" s="21"/>
      <c r="F1377" s="17"/>
      <c r="G1377" s="17"/>
      <c r="H1377" s="93"/>
    </row>
    <row r="1378" spans="1:8" x14ac:dyDescent="0.35">
      <c r="A1378" s="21"/>
      <c r="B1378" s="21"/>
      <c r="C1378" s="17"/>
      <c r="D1378" s="21"/>
      <c r="E1378" s="21"/>
      <c r="F1378" s="17"/>
      <c r="G1378" s="17"/>
      <c r="H1378" s="93"/>
    </row>
    <row r="1379" spans="1:8" x14ac:dyDescent="0.35">
      <c r="A1379" s="21"/>
      <c r="B1379" s="21"/>
      <c r="C1379" s="17"/>
      <c r="D1379" s="21"/>
      <c r="E1379" s="21"/>
      <c r="F1379" s="17"/>
      <c r="G1379" s="17"/>
      <c r="H1379" s="93"/>
    </row>
    <row r="1380" spans="1:8" x14ac:dyDescent="0.35">
      <c r="A1380" s="21"/>
      <c r="B1380" s="21"/>
      <c r="C1380" s="17"/>
      <c r="D1380" s="21"/>
      <c r="E1380" s="21"/>
      <c r="F1380" s="17"/>
      <c r="G1380" s="17"/>
      <c r="H1380" s="93"/>
    </row>
    <row r="1381" spans="1:8" x14ac:dyDescent="0.35">
      <c r="A1381" s="21"/>
      <c r="B1381" s="21"/>
      <c r="C1381" s="17"/>
      <c r="D1381" s="21"/>
      <c r="E1381" s="21"/>
      <c r="F1381" s="17"/>
      <c r="G1381" s="17"/>
      <c r="H1381" s="93"/>
    </row>
    <row r="1382" spans="1:8" x14ac:dyDescent="0.35">
      <c r="A1382" s="21"/>
      <c r="B1382" s="21"/>
      <c r="C1382" s="17"/>
      <c r="D1382" s="21"/>
      <c r="E1382" s="21"/>
      <c r="F1382" s="17"/>
      <c r="G1382" s="17"/>
      <c r="H1382" s="93"/>
    </row>
    <row r="1383" spans="1:8" x14ac:dyDescent="0.35">
      <c r="A1383" s="21"/>
      <c r="B1383" s="21"/>
      <c r="C1383" s="17"/>
      <c r="D1383" s="21"/>
      <c r="E1383" s="21"/>
      <c r="F1383" s="17"/>
      <c r="G1383" s="17"/>
      <c r="H1383" s="93"/>
    </row>
    <row r="1384" spans="1:8" x14ac:dyDescent="0.35">
      <c r="A1384" s="21"/>
      <c r="B1384" s="21"/>
      <c r="C1384" s="17"/>
      <c r="D1384" s="21"/>
      <c r="E1384" s="21"/>
      <c r="F1384" s="17"/>
      <c r="G1384" s="17"/>
      <c r="H1384" s="93"/>
    </row>
    <row r="1385" spans="1:8" x14ac:dyDescent="0.35">
      <c r="A1385" s="21"/>
      <c r="B1385" s="21"/>
      <c r="C1385" s="17"/>
      <c r="D1385" s="21"/>
      <c r="E1385" s="21"/>
      <c r="F1385" s="17"/>
      <c r="G1385" s="17"/>
      <c r="H1385" s="93"/>
    </row>
    <row r="1386" spans="1:8" x14ac:dyDescent="0.35">
      <c r="A1386" s="21"/>
      <c r="B1386" s="21"/>
      <c r="C1386" s="17"/>
      <c r="D1386" s="21"/>
      <c r="E1386" s="21"/>
      <c r="F1386" s="17"/>
      <c r="G1386" s="17"/>
      <c r="H1386" s="93"/>
    </row>
    <row r="1387" spans="1:8" x14ac:dyDescent="0.35">
      <c r="A1387" s="21"/>
      <c r="B1387" s="21"/>
      <c r="C1387" s="17"/>
      <c r="D1387" s="21"/>
      <c r="E1387" s="21"/>
      <c r="F1387" s="17"/>
      <c r="G1387" s="17"/>
      <c r="H1387" s="93"/>
    </row>
    <row r="1388" spans="1:8" x14ac:dyDescent="0.35">
      <c r="A1388" s="21"/>
      <c r="B1388" s="21"/>
      <c r="C1388" s="17"/>
      <c r="D1388" s="21"/>
      <c r="E1388" s="21"/>
      <c r="F1388" s="17"/>
      <c r="G1388" s="17"/>
      <c r="H1388" s="93"/>
    </row>
    <row r="1389" spans="1:8" x14ac:dyDescent="0.35">
      <c r="A1389" s="21"/>
      <c r="B1389" s="21"/>
      <c r="C1389" s="17"/>
      <c r="D1389" s="21"/>
      <c r="E1389" s="21"/>
      <c r="F1389" s="17"/>
      <c r="G1389" s="17"/>
      <c r="H1389" s="93"/>
    </row>
    <row r="1390" spans="1:8" x14ac:dyDescent="0.35">
      <c r="A1390" s="21"/>
      <c r="B1390" s="21"/>
      <c r="C1390" s="17"/>
      <c r="D1390" s="21"/>
      <c r="E1390" s="21"/>
      <c r="F1390" s="17"/>
      <c r="G1390" s="17"/>
      <c r="H1390" s="93"/>
    </row>
    <row r="1391" spans="1:8" x14ac:dyDescent="0.35">
      <c r="A1391" s="21"/>
      <c r="B1391" s="21"/>
      <c r="C1391" s="17"/>
      <c r="D1391" s="21"/>
      <c r="E1391" s="21"/>
      <c r="F1391" s="17"/>
      <c r="G1391" s="17"/>
      <c r="H1391" s="93"/>
    </row>
    <row r="1392" spans="1:8" x14ac:dyDescent="0.35">
      <c r="A1392" s="21"/>
      <c r="B1392" s="21"/>
      <c r="C1392" s="17"/>
      <c r="D1392" s="21"/>
      <c r="E1392" s="21"/>
      <c r="F1392" s="17"/>
      <c r="G1392" s="17"/>
      <c r="H1392" s="93"/>
    </row>
    <row r="1393" spans="1:8" x14ac:dyDescent="0.35">
      <c r="A1393" s="21"/>
      <c r="B1393" s="21"/>
      <c r="C1393" s="17"/>
      <c r="D1393" s="21"/>
      <c r="E1393" s="21"/>
      <c r="F1393" s="17"/>
      <c r="G1393" s="17"/>
      <c r="H1393" s="93"/>
    </row>
    <row r="1394" spans="1:8" x14ac:dyDescent="0.35">
      <c r="A1394" s="21"/>
      <c r="B1394" s="21"/>
      <c r="C1394" s="17"/>
      <c r="D1394" s="21"/>
      <c r="E1394" s="21"/>
      <c r="F1394" s="17"/>
      <c r="G1394" s="17"/>
      <c r="H1394" s="93"/>
    </row>
    <row r="1395" spans="1:8" x14ac:dyDescent="0.35">
      <c r="A1395" s="21"/>
      <c r="B1395" s="21"/>
      <c r="C1395" s="17"/>
      <c r="D1395" s="21"/>
      <c r="E1395" s="21"/>
      <c r="F1395" s="17"/>
      <c r="G1395" s="17"/>
      <c r="H1395" s="93"/>
    </row>
    <row r="1396" spans="1:8" x14ac:dyDescent="0.35">
      <c r="A1396" s="21"/>
      <c r="B1396" s="21"/>
      <c r="C1396" s="17"/>
      <c r="D1396" s="21"/>
      <c r="E1396" s="21"/>
      <c r="F1396" s="17"/>
      <c r="G1396" s="17"/>
      <c r="H1396" s="93"/>
    </row>
    <row r="1397" spans="1:8" x14ac:dyDescent="0.35">
      <c r="A1397" s="21"/>
      <c r="B1397" s="21"/>
      <c r="C1397" s="17"/>
      <c r="D1397" s="21"/>
      <c r="E1397" s="21"/>
      <c r="F1397" s="17"/>
      <c r="G1397" s="17"/>
      <c r="H1397" s="93"/>
    </row>
    <row r="1398" spans="1:8" x14ac:dyDescent="0.35">
      <c r="A1398" s="21"/>
      <c r="B1398" s="21"/>
      <c r="C1398" s="17"/>
      <c r="D1398" s="21"/>
      <c r="E1398" s="21"/>
      <c r="F1398" s="17"/>
      <c r="G1398" s="17"/>
      <c r="H1398" s="93"/>
    </row>
    <row r="1399" spans="1:8" x14ac:dyDescent="0.35">
      <c r="A1399" s="21"/>
      <c r="B1399" s="21"/>
      <c r="C1399" s="17"/>
      <c r="D1399" s="21"/>
      <c r="E1399" s="21"/>
      <c r="F1399" s="17"/>
      <c r="G1399" s="17"/>
      <c r="H1399" s="93"/>
    </row>
    <row r="1400" spans="1:8" x14ac:dyDescent="0.35">
      <c r="A1400" s="21"/>
      <c r="B1400" s="21"/>
      <c r="C1400" s="17"/>
      <c r="D1400" s="21"/>
      <c r="E1400" s="21"/>
      <c r="F1400" s="17"/>
      <c r="G1400" s="17"/>
      <c r="H1400" s="93"/>
    </row>
    <row r="1401" spans="1:8" x14ac:dyDescent="0.35">
      <c r="A1401" s="21"/>
      <c r="B1401" s="21"/>
      <c r="C1401" s="17"/>
      <c r="D1401" s="21"/>
      <c r="E1401" s="21"/>
      <c r="F1401" s="17"/>
      <c r="G1401" s="17"/>
      <c r="H1401" s="93"/>
    </row>
    <row r="1402" spans="1:8" x14ac:dyDescent="0.35">
      <c r="A1402" s="21"/>
      <c r="B1402" s="21"/>
      <c r="C1402" s="17"/>
      <c r="D1402" s="21"/>
      <c r="E1402" s="21"/>
      <c r="F1402" s="17"/>
      <c r="G1402" s="17"/>
      <c r="H1402" s="93"/>
    </row>
    <row r="1403" spans="1:8" x14ac:dyDescent="0.35">
      <c r="A1403" s="21"/>
      <c r="B1403" s="21"/>
      <c r="C1403" s="17"/>
      <c r="D1403" s="21"/>
      <c r="E1403" s="21"/>
      <c r="F1403" s="17"/>
      <c r="G1403" s="17"/>
      <c r="H1403" s="93"/>
    </row>
    <row r="1404" spans="1:8" x14ac:dyDescent="0.35">
      <c r="A1404" s="21"/>
      <c r="B1404" s="21"/>
      <c r="C1404" s="17"/>
      <c r="D1404" s="21"/>
      <c r="E1404" s="21"/>
      <c r="F1404" s="17"/>
      <c r="G1404" s="17"/>
      <c r="H1404" s="93"/>
    </row>
    <row r="1405" spans="1:8" x14ac:dyDescent="0.35">
      <c r="A1405" s="21"/>
      <c r="B1405" s="21"/>
      <c r="C1405" s="17"/>
      <c r="D1405" s="21"/>
      <c r="E1405" s="21"/>
      <c r="F1405" s="17"/>
      <c r="G1405" s="17"/>
      <c r="H1405" s="93"/>
    </row>
    <row r="1406" spans="1:8" x14ac:dyDescent="0.35">
      <c r="A1406" s="21"/>
      <c r="B1406" s="21"/>
      <c r="C1406" s="17"/>
      <c r="D1406" s="21"/>
      <c r="E1406" s="21"/>
      <c r="F1406" s="17"/>
      <c r="G1406" s="17"/>
      <c r="H1406" s="93"/>
    </row>
    <row r="1407" spans="1:8" x14ac:dyDescent="0.35">
      <c r="A1407" s="21"/>
      <c r="B1407" s="21"/>
      <c r="C1407" s="17"/>
      <c r="D1407" s="21"/>
      <c r="E1407" s="21"/>
      <c r="F1407" s="17"/>
      <c r="G1407" s="17"/>
      <c r="H1407" s="93"/>
    </row>
    <row r="1408" spans="1:8" x14ac:dyDescent="0.35">
      <c r="A1408" s="21"/>
      <c r="B1408" s="21"/>
      <c r="C1408" s="17"/>
      <c r="D1408" s="21"/>
      <c r="E1408" s="21"/>
      <c r="F1408" s="17"/>
      <c r="G1408" s="17"/>
      <c r="H1408" s="93"/>
    </row>
    <row r="1409" spans="1:8" x14ac:dyDescent="0.35">
      <c r="A1409" s="21"/>
      <c r="B1409" s="21"/>
      <c r="C1409" s="17"/>
      <c r="D1409" s="21"/>
      <c r="E1409" s="21"/>
      <c r="F1409" s="17"/>
      <c r="G1409" s="17"/>
      <c r="H1409" s="93"/>
    </row>
    <row r="1410" spans="1:8" x14ac:dyDescent="0.35">
      <c r="A1410" s="21"/>
      <c r="B1410" s="21"/>
      <c r="C1410" s="17"/>
      <c r="D1410" s="21"/>
      <c r="E1410" s="21"/>
      <c r="F1410" s="17"/>
      <c r="G1410" s="17"/>
      <c r="H1410" s="93"/>
    </row>
    <row r="1411" spans="1:8" x14ac:dyDescent="0.35">
      <c r="A1411" s="21"/>
      <c r="B1411" s="21"/>
      <c r="C1411" s="17"/>
      <c r="D1411" s="21"/>
      <c r="E1411" s="21"/>
      <c r="F1411" s="17"/>
      <c r="G1411" s="17"/>
      <c r="H1411" s="93"/>
    </row>
    <row r="1412" spans="1:8" x14ac:dyDescent="0.35">
      <c r="A1412" s="21"/>
      <c r="B1412" s="21"/>
      <c r="C1412" s="17"/>
      <c r="D1412" s="21"/>
      <c r="E1412" s="21"/>
      <c r="F1412" s="17"/>
      <c r="G1412" s="17"/>
      <c r="H1412" s="93"/>
    </row>
    <row r="1413" spans="1:8" x14ac:dyDescent="0.35">
      <c r="A1413" s="21"/>
      <c r="B1413" s="21"/>
      <c r="C1413" s="17"/>
      <c r="D1413" s="21"/>
      <c r="E1413" s="21"/>
      <c r="F1413" s="17"/>
      <c r="G1413" s="17"/>
      <c r="H1413" s="93"/>
    </row>
    <row r="1414" spans="1:8" x14ac:dyDescent="0.35">
      <c r="A1414" s="21"/>
      <c r="B1414" s="21"/>
      <c r="C1414" s="17"/>
      <c r="D1414" s="21"/>
      <c r="E1414" s="21"/>
      <c r="F1414" s="17"/>
      <c r="G1414" s="17"/>
      <c r="H1414" s="93"/>
    </row>
    <row r="1415" spans="1:8" x14ac:dyDescent="0.35">
      <c r="A1415" s="21"/>
      <c r="B1415" s="21"/>
      <c r="C1415" s="17"/>
      <c r="D1415" s="21"/>
      <c r="E1415" s="21"/>
      <c r="F1415" s="17"/>
      <c r="G1415" s="17"/>
      <c r="H1415" s="93"/>
    </row>
    <row r="1416" spans="1:8" x14ac:dyDescent="0.35">
      <c r="A1416" s="21"/>
      <c r="B1416" s="21"/>
      <c r="C1416" s="17"/>
      <c r="D1416" s="21"/>
      <c r="E1416" s="21"/>
      <c r="F1416" s="17"/>
      <c r="G1416" s="17"/>
      <c r="H1416" s="93"/>
    </row>
    <row r="1417" spans="1:8" x14ac:dyDescent="0.35">
      <c r="A1417" s="21"/>
      <c r="B1417" s="21"/>
      <c r="C1417" s="17"/>
      <c r="D1417" s="21"/>
      <c r="E1417" s="21"/>
      <c r="F1417" s="17"/>
      <c r="G1417" s="17"/>
      <c r="H1417" s="93"/>
    </row>
    <row r="1418" spans="1:8" x14ac:dyDescent="0.35">
      <c r="A1418" s="21"/>
      <c r="B1418" s="21"/>
      <c r="C1418" s="17"/>
      <c r="D1418" s="21"/>
      <c r="E1418" s="21"/>
      <c r="F1418" s="17"/>
      <c r="G1418" s="17"/>
      <c r="H1418" s="93"/>
    </row>
    <row r="1419" spans="1:8" x14ac:dyDescent="0.35">
      <c r="A1419" s="21"/>
      <c r="B1419" s="21"/>
      <c r="C1419" s="17"/>
      <c r="D1419" s="21"/>
      <c r="E1419" s="21"/>
      <c r="F1419" s="17"/>
      <c r="G1419" s="17"/>
      <c r="H1419" s="93"/>
    </row>
    <row r="1420" spans="1:8" x14ac:dyDescent="0.35">
      <c r="A1420" s="21"/>
      <c r="B1420" s="21"/>
      <c r="C1420" s="17"/>
      <c r="D1420" s="21"/>
      <c r="E1420" s="21"/>
      <c r="F1420" s="17"/>
      <c r="G1420" s="17"/>
      <c r="H1420" s="93"/>
    </row>
    <row r="1421" spans="1:8" x14ac:dyDescent="0.35">
      <c r="A1421" s="21"/>
      <c r="B1421" s="21"/>
      <c r="C1421" s="17"/>
      <c r="D1421" s="21"/>
      <c r="E1421" s="21"/>
      <c r="F1421" s="17"/>
      <c r="G1421" s="17"/>
      <c r="H1421" s="93"/>
    </row>
    <row r="1422" spans="1:8" x14ac:dyDescent="0.35">
      <c r="A1422" s="21"/>
      <c r="B1422" s="21"/>
      <c r="C1422" s="17"/>
      <c r="D1422" s="21"/>
      <c r="E1422" s="21"/>
      <c r="F1422" s="17"/>
      <c r="G1422" s="17"/>
      <c r="H1422" s="93"/>
    </row>
    <row r="1423" spans="1:8" x14ac:dyDescent="0.35">
      <c r="A1423" s="21"/>
      <c r="B1423" s="21"/>
      <c r="C1423" s="17"/>
      <c r="D1423" s="21"/>
      <c r="E1423" s="21"/>
      <c r="F1423" s="17"/>
      <c r="G1423" s="17"/>
      <c r="H1423" s="93"/>
    </row>
    <row r="1424" spans="1:8" x14ac:dyDescent="0.35">
      <c r="A1424" s="21"/>
      <c r="B1424" s="21"/>
      <c r="C1424" s="17"/>
      <c r="D1424" s="21"/>
      <c r="E1424" s="21"/>
      <c r="F1424" s="17"/>
      <c r="G1424" s="17"/>
      <c r="H1424" s="93"/>
    </row>
    <row r="1425" spans="1:8" x14ac:dyDescent="0.35">
      <c r="A1425" s="21"/>
      <c r="B1425" s="21"/>
      <c r="C1425" s="17"/>
      <c r="D1425" s="21"/>
      <c r="E1425" s="21"/>
      <c r="F1425" s="17"/>
      <c r="G1425" s="17"/>
      <c r="H1425" s="93"/>
    </row>
    <row r="1426" spans="1:8" x14ac:dyDescent="0.35">
      <c r="A1426" s="21"/>
      <c r="B1426" s="21"/>
      <c r="C1426" s="17"/>
      <c r="D1426" s="21"/>
      <c r="E1426" s="21"/>
      <c r="F1426" s="17"/>
      <c r="G1426" s="17"/>
      <c r="H1426" s="93"/>
    </row>
    <row r="1427" spans="1:8" x14ac:dyDescent="0.35">
      <c r="A1427" s="21"/>
      <c r="B1427" s="21"/>
      <c r="C1427" s="17"/>
      <c r="D1427" s="21"/>
      <c r="E1427" s="21"/>
      <c r="F1427" s="17"/>
      <c r="G1427" s="17"/>
      <c r="H1427" s="93"/>
    </row>
    <row r="1428" spans="1:8" x14ac:dyDescent="0.35">
      <c r="A1428" s="21"/>
      <c r="B1428" s="21"/>
      <c r="C1428" s="17"/>
      <c r="D1428" s="21"/>
      <c r="E1428" s="21"/>
      <c r="F1428" s="17"/>
      <c r="G1428" s="17"/>
      <c r="H1428" s="93"/>
    </row>
    <row r="1429" spans="1:8" x14ac:dyDescent="0.35">
      <c r="A1429" s="21"/>
      <c r="B1429" s="21"/>
      <c r="C1429" s="17"/>
      <c r="D1429" s="21"/>
      <c r="E1429" s="21"/>
      <c r="F1429" s="17"/>
      <c r="G1429" s="17"/>
      <c r="H1429" s="93"/>
    </row>
    <row r="1430" spans="1:8" x14ac:dyDescent="0.35">
      <c r="A1430" s="21"/>
      <c r="B1430" s="21"/>
      <c r="C1430" s="17"/>
      <c r="D1430" s="21"/>
      <c r="E1430" s="21"/>
      <c r="F1430" s="17"/>
      <c r="G1430" s="17"/>
      <c r="H1430" s="93"/>
    </row>
    <row r="1431" spans="1:8" x14ac:dyDescent="0.35">
      <c r="A1431" s="21"/>
      <c r="B1431" s="21"/>
      <c r="C1431" s="17"/>
      <c r="D1431" s="21"/>
      <c r="E1431" s="21"/>
      <c r="F1431" s="17"/>
      <c r="G1431" s="17"/>
      <c r="H1431" s="93"/>
    </row>
    <row r="1432" spans="1:8" x14ac:dyDescent="0.35">
      <c r="A1432" s="21"/>
      <c r="B1432" s="21"/>
      <c r="C1432" s="17"/>
      <c r="D1432" s="21"/>
      <c r="E1432" s="21"/>
      <c r="F1432" s="17"/>
      <c r="G1432" s="17"/>
      <c r="H1432" s="93"/>
    </row>
    <row r="1433" spans="1:8" x14ac:dyDescent="0.35">
      <c r="A1433" s="21"/>
      <c r="B1433" s="21"/>
      <c r="C1433" s="17"/>
      <c r="D1433" s="21"/>
      <c r="E1433" s="21"/>
      <c r="F1433" s="17"/>
      <c r="G1433" s="17"/>
      <c r="H1433" s="93"/>
    </row>
    <row r="1434" spans="1:8" x14ac:dyDescent="0.35">
      <c r="A1434" s="21"/>
      <c r="B1434" s="21"/>
      <c r="C1434" s="17"/>
      <c r="D1434" s="21"/>
      <c r="E1434" s="21"/>
      <c r="F1434" s="17"/>
      <c r="G1434" s="17"/>
      <c r="H1434" s="93"/>
    </row>
    <row r="1435" spans="1:8" x14ac:dyDescent="0.35">
      <c r="A1435" s="21"/>
      <c r="B1435" s="21"/>
      <c r="C1435" s="17"/>
      <c r="D1435" s="21"/>
      <c r="E1435" s="21"/>
      <c r="F1435" s="17"/>
      <c r="G1435" s="17"/>
      <c r="H1435" s="93"/>
    </row>
    <row r="1436" spans="1:8" x14ac:dyDescent="0.35">
      <c r="A1436" s="21"/>
      <c r="B1436" s="21"/>
      <c r="C1436" s="17"/>
      <c r="D1436" s="21"/>
      <c r="E1436" s="21"/>
      <c r="F1436" s="17"/>
      <c r="G1436" s="17"/>
      <c r="H1436" s="93"/>
    </row>
    <row r="1437" spans="1:8" x14ac:dyDescent="0.35">
      <c r="A1437" s="21"/>
      <c r="B1437" s="21"/>
      <c r="C1437" s="17"/>
      <c r="D1437" s="21"/>
      <c r="E1437" s="21"/>
      <c r="F1437" s="17"/>
      <c r="G1437" s="17"/>
      <c r="H1437" s="93"/>
    </row>
    <row r="1438" spans="1:8" x14ac:dyDescent="0.35">
      <c r="A1438" s="21"/>
      <c r="B1438" s="21"/>
      <c r="C1438" s="17"/>
      <c r="D1438" s="21"/>
      <c r="E1438" s="21"/>
      <c r="F1438" s="17"/>
      <c r="G1438" s="17"/>
      <c r="H1438" s="93"/>
    </row>
    <row r="1439" spans="1:8" x14ac:dyDescent="0.35">
      <c r="A1439" s="21"/>
      <c r="B1439" s="21"/>
      <c r="C1439" s="17"/>
      <c r="D1439" s="21"/>
      <c r="E1439" s="21"/>
      <c r="F1439" s="17"/>
      <c r="G1439" s="17"/>
      <c r="H1439" s="93"/>
    </row>
    <row r="1440" spans="1:8" x14ac:dyDescent="0.35">
      <c r="A1440" s="21"/>
      <c r="B1440" s="21"/>
      <c r="C1440" s="17"/>
      <c r="D1440" s="21"/>
      <c r="E1440" s="21"/>
      <c r="F1440" s="17"/>
      <c r="G1440" s="17"/>
      <c r="H1440" s="93"/>
    </row>
    <row r="1441" spans="1:8" x14ac:dyDescent="0.35">
      <c r="A1441" s="21"/>
      <c r="B1441" s="21"/>
      <c r="C1441" s="17"/>
      <c r="D1441" s="21"/>
      <c r="E1441" s="21"/>
      <c r="F1441" s="17"/>
      <c r="G1441" s="17"/>
      <c r="H1441" s="93"/>
    </row>
    <row r="1442" spans="1:8" x14ac:dyDescent="0.35">
      <c r="A1442" s="21"/>
      <c r="B1442" s="21"/>
      <c r="C1442" s="17"/>
      <c r="D1442" s="21"/>
      <c r="E1442" s="21"/>
      <c r="F1442" s="17"/>
      <c r="G1442" s="17"/>
      <c r="H1442" s="93"/>
    </row>
    <row r="1443" spans="1:8" x14ac:dyDescent="0.35">
      <c r="A1443" s="21"/>
      <c r="B1443" s="21"/>
      <c r="C1443" s="17"/>
      <c r="D1443" s="21"/>
      <c r="E1443" s="21"/>
      <c r="F1443" s="17"/>
      <c r="G1443" s="17"/>
      <c r="H1443" s="93"/>
    </row>
    <row r="1444" spans="1:8" x14ac:dyDescent="0.35">
      <c r="A1444" s="21"/>
      <c r="B1444" s="21"/>
      <c r="C1444" s="17"/>
      <c r="D1444" s="21"/>
      <c r="E1444" s="21"/>
      <c r="F1444" s="17"/>
      <c r="G1444" s="17"/>
      <c r="H1444" s="93"/>
    </row>
    <row r="1445" spans="1:8" x14ac:dyDescent="0.35">
      <c r="A1445" s="21"/>
      <c r="B1445" s="21"/>
      <c r="C1445" s="17"/>
      <c r="D1445" s="21"/>
      <c r="E1445" s="21"/>
      <c r="F1445" s="17"/>
      <c r="G1445" s="17"/>
      <c r="H1445" s="93"/>
    </row>
    <row r="1446" spans="1:8" x14ac:dyDescent="0.35">
      <c r="A1446" s="21"/>
      <c r="B1446" s="21"/>
      <c r="C1446" s="17"/>
      <c r="D1446" s="21"/>
      <c r="E1446" s="21"/>
      <c r="F1446" s="17"/>
      <c r="G1446" s="17"/>
      <c r="H1446" s="93"/>
    </row>
    <row r="1447" spans="1:8" x14ac:dyDescent="0.35">
      <c r="A1447" s="21"/>
      <c r="B1447" s="21"/>
      <c r="C1447" s="17"/>
      <c r="D1447" s="21"/>
      <c r="E1447" s="21"/>
      <c r="F1447" s="17"/>
      <c r="G1447" s="17"/>
      <c r="H1447" s="93"/>
    </row>
    <row r="1448" spans="1:8" x14ac:dyDescent="0.35">
      <c r="A1448" s="21"/>
      <c r="B1448" s="21"/>
      <c r="C1448" s="17"/>
      <c r="D1448" s="21"/>
      <c r="E1448" s="21"/>
      <c r="F1448" s="17"/>
      <c r="G1448" s="17"/>
      <c r="H1448" s="93"/>
    </row>
    <row r="1449" spans="1:8" x14ac:dyDescent="0.35">
      <c r="A1449" s="21"/>
      <c r="B1449" s="21"/>
      <c r="C1449" s="17"/>
      <c r="D1449" s="21"/>
      <c r="E1449" s="21"/>
      <c r="F1449" s="17"/>
      <c r="G1449" s="17"/>
      <c r="H1449" s="93"/>
    </row>
    <row r="1450" spans="1:8" x14ac:dyDescent="0.35">
      <c r="A1450" s="21"/>
      <c r="B1450" s="21"/>
      <c r="C1450" s="17"/>
      <c r="D1450" s="21"/>
      <c r="E1450" s="21"/>
      <c r="F1450" s="17"/>
      <c r="G1450" s="17"/>
      <c r="H1450" s="93"/>
    </row>
    <row r="1451" spans="1:8" x14ac:dyDescent="0.35">
      <c r="A1451" s="21"/>
      <c r="B1451" s="21"/>
      <c r="C1451" s="17"/>
      <c r="D1451" s="21"/>
      <c r="E1451" s="21"/>
      <c r="F1451" s="17"/>
      <c r="G1451" s="17"/>
      <c r="H1451" s="93"/>
    </row>
    <row r="1452" spans="1:8" x14ac:dyDescent="0.35">
      <c r="A1452" s="21"/>
      <c r="B1452" s="21"/>
      <c r="C1452" s="17"/>
      <c r="D1452" s="21"/>
      <c r="E1452" s="21"/>
      <c r="F1452" s="17"/>
      <c r="G1452" s="17"/>
      <c r="H1452" s="93"/>
    </row>
    <row r="1453" spans="1:8" x14ac:dyDescent="0.35">
      <c r="A1453" s="21"/>
      <c r="B1453" s="21"/>
      <c r="C1453" s="17"/>
      <c r="D1453" s="21"/>
      <c r="E1453" s="21"/>
      <c r="F1453" s="17"/>
      <c r="G1453" s="17"/>
      <c r="H1453" s="93"/>
    </row>
    <row r="1454" spans="1:8" x14ac:dyDescent="0.35">
      <c r="A1454" s="21"/>
      <c r="B1454" s="21"/>
      <c r="C1454" s="17"/>
      <c r="D1454" s="21"/>
      <c r="E1454" s="21"/>
      <c r="F1454" s="17"/>
      <c r="G1454" s="17"/>
      <c r="H1454" s="93"/>
    </row>
    <row r="1455" spans="1:8" x14ac:dyDescent="0.35">
      <c r="A1455" s="21"/>
      <c r="B1455" s="21"/>
      <c r="C1455" s="17"/>
      <c r="D1455" s="21"/>
      <c r="E1455" s="21"/>
      <c r="F1455" s="17"/>
      <c r="G1455" s="17"/>
      <c r="H1455" s="93"/>
    </row>
    <row r="1456" spans="1:8" x14ac:dyDescent="0.35">
      <c r="A1456" s="21"/>
      <c r="B1456" s="21"/>
      <c r="C1456" s="17"/>
      <c r="D1456" s="21"/>
      <c r="E1456" s="21"/>
      <c r="F1456" s="17"/>
      <c r="G1456" s="17"/>
      <c r="H1456" s="93"/>
    </row>
    <row r="1457" spans="1:8" x14ac:dyDescent="0.35">
      <c r="A1457" s="21"/>
      <c r="B1457" s="21"/>
      <c r="C1457" s="17"/>
      <c r="D1457" s="21"/>
      <c r="E1457" s="21"/>
      <c r="F1457" s="17"/>
      <c r="G1457" s="17"/>
      <c r="H1457" s="93"/>
    </row>
    <row r="1458" spans="1:8" x14ac:dyDescent="0.35">
      <c r="A1458" s="21"/>
      <c r="B1458" s="21"/>
      <c r="C1458" s="17"/>
      <c r="D1458" s="21"/>
      <c r="E1458" s="21"/>
      <c r="F1458" s="17"/>
      <c r="G1458" s="17"/>
      <c r="H1458" s="93"/>
    </row>
    <row r="1459" spans="1:8" x14ac:dyDescent="0.35">
      <c r="A1459" s="21"/>
      <c r="B1459" s="21"/>
      <c r="C1459" s="17"/>
      <c r="D1459" s="21"/>
      <c r="E1459" s="21"/>
      <c r="F1459" s="17"/>
      <c r="G1459" s="17"/>
      <c r="H1459" s="93"/>
    </row>
    <row r="1460" spans="1:8" x14ac:dyDescent="0.35">
      <c r="A1460" s="21"/>
      <c r="B1460" s="21"/>
      <c r="C1460" s="17"/>
      <c r="D1460" s="21"/>
      <c r="E1460" s="21"/>
      <c r="F1460" s="17"/>
      <c r="G1460" s="17"/>
      <c r="H1460" s="93"/>
    </row>
    <row r="1461" spans="1:8" x14ac:dyDescent="0.35">
      <c r="A1461" s="21"/>
      <c r="B1461" s="21"/>
      <c r="C1461" s="17"/>
      <c r="D1461" s="21"/>
      <c r="E1461" s="21"/>
      <c r="F1461" s="17"/>
      <c r="G1461" s="17"/>
      <c r="H1461" s="93"/>
    </row>
    <row r="1462" spans="1:8" x14ac:dyDescent="0.35">
      <c r="A1462" s="21"/>
      <c r="B1462" s="21"/>
      <c r="C1462" s="17"/>
      <c r="D1462" s="21"/>
      <c r="E1462" s="21"/>
      <c r="F1462" s="17"/>
      <c r="G1462" s="17"/>
      <c r="H1462" s="93"/>
    </row>
    <row r="1463" spans="1:8" x14ac:dyDescent="0.35">
      <c r="A1463" s="21"/>
      <c r="B1463" s="21"/>
      <c r="C1463" s="17"/>
      <c r="D1463" s="21"/>
      <c r="E1463" s="21"/>
      <c r="F1463" s="17"/>
      <c r="G1463" s="17"/>
      <c r="H1463" s="93"/>
    </row>
    <row r="1464" spans="1:8" x14ac:dyDescent="0.35">
      <c r="A1464" s="21"/>
      <c r="B1464" s="21"/>
      <c r="C1464" s="17"/>
      <c r="D1464" s="21"/>
      <c r="E1464" s="21"/>
      <c r="F1464" s="17"/>
      <c r="G1464" s="17"/>
      <c r="H1464" s="93"/>
    </row>
    <row r="1465" spans="1:8" x14ac:dyDescent="0.35">
      <c r="A1465" s="21"/>
      <c r="B1465" s="21"/>
      <c r="C1465" s="17"/>
      <c r="D1465" s="21"/>
      <c r="E1465" s="21"/>
      <c r="F1465" s="17"/>
      <c r="G1465" s="17"/>
      <c r="H1465" s="93"/>
    </row>
    <row r="1466" spans="1:8" x14ac:dyDescent="0.35">
      <c r="A1466" s="21"/>
      <c r="B1466" s="21"/>
      <c r="C1466" s="17"/>
      <c r="D1466" s="21"/>
      <c r="E1466" s="21"/>
      <c r="F1466" s="17"/>
      <c r="G1466" s="17"/>
      <c r="H1466" s="93"/>
    </row>
    <row r="1467" spans="1:8" x14ac:dyDescent="0.35">
      <c r="A1467" s="21"/>
      <c r="B1467" s="21"/>
      <c r="C1467" s="17"/>
      <c r="D1467" s="21"/>
      <c r="E1467" s="21"/>
      <c r="F1467" s="17"/>
      <c r="G1467" s="17"/>
      <c r="H1467" s="93"/>
    </row>
    <row r="1468" spans="1:8" x14ac:dyDescent="0.35">
      <c r="A1468" s="21"/>
      <c r="B1468" s="21"/>
      <c r="C1468" s="17"/>
      <c r="D1468" s="21"/>
      <c r="E1468" s="21"/>
      <c r="F1468" s="17"/>
      <c r="G1468" s="17"/>
      <c r="H1468" s="93"/>
    </row>
    <row r="1469" spans="1:8" x14ac:dyDescent="0.35">
      <c r="A1469" s="21"/>
      <c r="B1469" s="21"/>
      <c r="C1469" s="17"/>
      <c r="D1469" s="21"/>
      <c r="E1469" s="21"/>
      <c r="F1469" s="17"/>
      <c r="G1469" s="17"/>
      <c r="H1469" s="93"/>
    </row>
    <row r="1470" spans="1:8" x14ac:dyDescent="0.35">
      <c r="A1470" s="21"/>
      <c r="B1470" s="21"/>
      <c r="C1470" s="17"/>
      <c r="D1470" s="21"/>
      <c r="E1470" s="21"/>
      <c r="F1470" s="17"/>
      <c r="G1470" s="17"/>
      <c r="H1470" s="93"/>
    </row>
    <row r="1471" spans="1:8" x14ac:dyDescent="0.35">
      <c r="A1471" s="21"/>
      <c r="B1471" s="21"/>
      <c r="C1471" s="17"/>
      <c r="D1471" s="21"/>
      <c r="E1471" s="21"/>
      <c r="F1471" s="17"/>
      <c r="G1471" s="17"/>
      <c r="H1471" s="93"/>
    </row>
    <row r="1472" spans="1:8" x14ac:dyDescent="0.35">
      <c r="A1472" s="21"/>
      <c r="B1472" s="21"/>
      <c r="C1472" s="17"/>
      <c r="D1472" s="21"/>
      <c r="E1472" s="21"/>
      <c r="F1472" s="17"/>
      <c r="G1472" s="17"/>
      <c r="H1472" s="93"/>
    </row>
    <row r="1473" spans="1:8" x14ac:dyDescent="0.35">
      <c r="A1473" s="21"/>
      <c r="B1473" s="21"/>
      <c r="C1473" s="17"/>
      <c r="D1473" s="21"/>
      <c r="E1473" s="21"/>
      <c r="F1473" s="17"/>
      <c r="G1473" s="17"/>
      <c r="H1473" s="93"/>
    </row>
    <row r="1474" spans="1:8" x14ac:dyDescent="0.35">
      <c r="A1474" s="21"/>
      <c r="B1474" s="21"/>
      <c r="C1474" s="17"/>
      <c r="D1474" s="21"/>
      <c r="E1474" s="21"/>
      <c r="F1474" s="17"/>
      <c r="G1474" s="17"/>
      <c r="H1474" s="93"/>
    </row>
    <row r="1475" spans="1:8" x14ac:dyDescent="0.35">
      <c r="A1475" s="21"/>
      <c r="B1475" s="21"/>
      <c r="C1475" s="17"/>
      <c r="D1475" s="21"/>
      <c r="E1475" s="21"/>
      <c r="F1475" s="17"/>
      <c r="G1475" s="17"/>
      <c r="H1475" s="93"/>
    </row>
    <row r="1476" spans="1:8" x14ac:dyDescent="0.35">
      <c r="A1476" s="21"/>
      <c r="B1476" s="21"/>
      <c r="C1476" s="17"/>
      <c r="D1476" s="21"/>
      <c r="E1476" s="21"/>
      <c r="F1476" s="17"/>
      <c r="G1476" s="17"/>
      <c r="H1476" s="93"/>
    </row>
    <row r="1477" spans="1:8" x14ac:dyDescent="0.35">
      <c r="A1477" s="21"/>
      <c r="B1477" s="21"/>
      <c r="C1477" s="17"/>
      <c r="D1477" s="21"/>
      <c r="E1477" s="21"/>
      <c r="F1477" s="17"/>
      <c r="G1477" s="17"/>
      <c r="H1477" s="93"/>
    </row>
    <row r="1478" spans="1:8" x14ac:dyDescent="0.35">
      <c r="A1478" s="21"/>
      <c r="B1478" s="21"/>
      <c r="C1478" s="17"/>
      <c r="D1478" s="21"/>
      <c r="E1478" s="21"/>
      <c r="F1478" s="17"/>
      <c r="G1478" s="17"/>
      <c r="H1478" s="93"/>
    </row>
    <row r="1479" spans="1:8" x14ac:dyDescent="0.35">
      <c r="A1479" s="21"/>
      <c r="B1479" s="21"/>
      <c r="C1479" s="17"/>
      <c r="D1479" s="21"/>
      <c r="E1479" s="21"/>
      <c r="F1479" s="17"/>
      <c r="G1479" s="17"/>
      <c r="H1479" s="93"/>
    </row>
    <row r="1480" spans="1:8" x14ac:dyDescent="0.35">
      <c r="A1480" s="21"/>
      <c r="B1480" s="21"/>
      <c r="C1480" s="17"/>
      <c r="D1480" s="21"/>
      <c r="E1480" s="21"/>
      <c r="F1480" s="17"/>
      <c r="G1480" s="17"/>
      <c r="H1480" s="93"/>
    </row>
    <row r="1481" spans="1:8" x14ac:dyDescent="0.35">
      <c r="A1481" s="21"/>
      <c r="B1481" s="21"/>
      <c r="C1481" s="17"/>
      <c r="D1481" s="21"/>
      <c r="E1481" s="21"/>
      <c r="F1481" s="17"/>
      <c r="G1481" s="17"/>
      <c r="H1481" s="93"/>
    </row>
    <row r="1482" spans="1:8" x14ac:dyDescent="0.35">
      <c r="A1482" s="21"/>
      <c r="B1482" s="21"/>
      <c r="C1482" s="17"/>
      <c r="D1482" s="21"/>
      <c r="E1482" s="21"/>
      <c r="F1482" s="17"/>
      <c r="G1482" s="17"/>
      <c r="H1482" s="93"/>
    </row>
    <row r="1483" spans="1:8" x14ac:dyDescent="0.35">
      <c r="A1483" s="21"/>
      <c r="B1483" s="21"/>
      <c r="C1483" s="17"/>
      <c r="D1483" s="21"/>
      <c r="E1483" s="21"/>
      <c r="F1483" s="17"/>
      <c r="G1483" s="17"/>
      <c r="H1483" s="93"/>
    </row>
    <row r="1484" spans="1:8" x14ac:dyDescent="0.35">
      <c r="A1484" s="21"/>
      <c r="B1484" s="21"/>
      <c r="C1484" s="17"/>
      <c r="D1484" s="21"/>
      <c r="E1484" s="21"/>
      <c r="F1484" s="17"/>
      <c r="G1484" s="17"/>
      <c r="H1484" s="93"/>
    </row>
    <row r="1485" spans="1:8" x14ac:dyDescent="0.35">
      <c r="A1485" s="21"/>
      <c r="B1485" s="21"/>
      <c r="C1485" s="17"/>
      <c r="D1485" s="21"/>
      <c r="E1485" s="21"/>
      <c r="F1485" s="17"/>
      <c r="G1485" s="17"/>
      <c r="H1485" s="93"/>
    </row>
    <row r="1486" spans="1:8" x14ac:dyDescent="0.35">
      <c r="A1486" s="21"/>
      <c r="B1486" s="21"/>
      <c r="C1486" s="17"/>
      <c r="D1486" s="21"/>
      <c r="E1486" s="21"/>
      <c r="F1486" s="17"/>
      <c r="G1486" s="17"/>
      <c r="H1486" s="93"/>
    </row>
    <row r="1487" spans="1:8" x14ac:dyDescent="0.35">
      <c r="A1487" s="21"/>
      <c r="B1487" s="21"/>
      <c r="C1487" s="17"/>
      <c r="D1487" s="21"/>
      <c r="E1487" s="21"/>
      <c r="F1487" s="17"/>
      <c r="G1487" s="17"/>
      <c r="H1487" s="93"/>
    </row>
    <row r="1488" spans="1:8" x14ac:dyDescent="0.35">
      <c r="A1488" s="21"/>
      <c r="B1488" s="21"/>
      <c r="C1488" s="17"/>
      <c r="D1488" s="21"/>
      <c r="E1488" s="21"/>
      <c r="F1488" s="17"/>
      <c r="G1488" s="17"/>
      <c r="H1488" s="93"/>
    </row>
    <row r="1489" spans="1:8" x14ac:dyDescent="0.35">
      <c r="A1489" s="21"/>
      <c r="B1489" s="21"/>
      <c r="C1489" s="17"/>
      <c r="D1489" s="21"/>
      <c r="E1489" s="21"/>
      <c r="F1489" s="17"/>
      <c r="G1489" s="17"/>
      <c r="H1489" s="93"/>
    </row>
    <row r="1490" spans="1:8" x14ac:dyDescent="0.35">
      <c r="A1490" s="21"/>
      <c r="B1490" s="21"/>
      <c r="C1490" s="17"/>
      <c r="D1490" s="21"/>
      <c r="E1490" s="21"/>
      <c r="F1490" s="17"/>
      <c r="G1490" s="17"/>
      <c r="H1490" s="93"/>
    </row>
    <row r="1491" spans="1:8" x14ac:dyDescent="0.35">
      <c r="A1491" s="21"/>
      <c r="B1491" s="21"/>
      <c r="C1491" s="17"/>
      <c r="D1491" s="21"/>
      <c r="E1491" s="21"/>
      <c r="F1491" s="17"/>
      <c r="G1491" s="17"/>
      <c r="H1491" s="93"/>
    </row>
    <row r="1492" spans="1:8" x14ac:dyDescent="0.35">
      <c r="A1492" s="21"/>
      <c r="B1492" s="21"/>
      <c r="C1492" s="17"/>
      <c r="D1492" s="21"/>
      <c r="E1492" s="21"/>
      <c r="F1492" s="17"/>
      <c r="G1492" s="17"/>
      <c r="H1492" s="93"/>
    </row>
    <row r="1493" spans="1:8" x14ac:dyDescent="0.35">
      <c r="A1493" s="21"/>
      <c r="B1493" s="21"/>
      <c r="C1493" s="17"/>
      <c r="D1493" s="21"/>
      <c r="E1493" s="21"/>
      <c r="F1493" s="17"/>
      <c r="G1493" s="17"/>
      <c r="H1493" s="93"/>
    </row>
    <row r="1494" spans="1:8" x14ac:dyDescent="0.35">
      <c r="A1494" s="21"/>
      <c r="B1494" s="21"/>
      <c r="C1494" s="17"/>
      <c r="D1494" s="21"/>
      <c r="E1494" s="21"/>
      <c r="F1494" s="17"/>
      <c r="G1494" s="17"/>
      <c r="H1494" s="93"/>
    </row>
    <row r="1495" spans="1:8" x14ac:dyDescent="0.35">
      <c r="A1495" s="21"/>
      <c r="B1495" s="21"/>
      <c r="C1495" s="17"/>
      <c r="D1495" s="21"/>
      <c r="E1495" s="21"/>
      <c r="F1495" s="17"/>
      <c r="G1495" s="17"/>
      <c r="H1495" s="93"/>
    </row>
    <row r="1496" spans="1:8" x14ac:dyDescent="0.35">
      <c r="A1496" s="21"/>
      <c r="B1496" s="21"/>
      <c r="C1496" s="17"/>
      <c r="D1496" s="21"/>
      <c r="E1496" s="21"/>
      <c r="F1496" s="17"/>
      <c r="G1496" s="17"/>
      <c r="H1496" s="93"/>
    </row>
    <row r="1497" spans="1:8" x14ac:dyDescent="0.35">
      <c r="A1497" s="21"/>
      <c r="B1497" s="21"/>
      <c r="C1497" s="17"/>
      <c r="D1497" s="21"/>
      <c r="E1497" s="21"/>
      <c r="F1497" s="17"/>
      <c r="G1497" s="17"/>
      <c r="H1497" s="93"/>
    </row>
    <row r="1498" spans="1:8" x14ac:dyDescent="0.35">
      <c r="A1498" s="21"/>
      <c r="B1498" s="21"/>
      <c r="C1498" s="17"/>
      <c r="D1498" s="21"/>
      <c r="E1498" s="21"/>
      <c r="F1498" s="17"/>
      <c r="G1498" s="17"/>
      <c r="H1498" s="93"/>
    </row>
    <row r="1499" spans="1:8" x14ac:dyDescent="0.35">
      <c r="A1499" s="21"/>
      <c r="B1499" s="21"/>
      <c r="C1499" s="17"/>
      <c r="D1499" s="21"/>
      <c r="E1499" s="21"/>
      <c r="F1499" s="17"/>
      <c r="G1499" s="17"/>
      <c r="H1499" s="93"/>
    </row>
    <row r="1500" spans="1:8" x14ac:dyDescent="0.35">
      <c r="A1500" s="21"/>
      <c r="B1500" s="21"/>
      <c r="C1500" s="17"/>
      <c r="D1500" s="21"/>
      <c r="E1500" s="21"/>
      <c r="F1500" s="17"/>
      <c r="G1500" s="17"/>
      <c r="H1500" s="93"/>
    </row>
    <row r="1501" spans="1:8" x14ac:dyDescent="0.35">
      <c r="A1501" s="21"/>
      <c r="B1501" s="21"/>
      <c r="C1501" s="17"/>
      <c r="D1501" s="21"/>
      <c r="E1501" s="21"/>
      <c r="F1501" s="17"/>
      <c r="G1501" s="17"/>
      <c r="H1501" s="93"/>
    </row>
    <row r="1502" spans="1:8" x14ac:dyDescent="0.35">
      <c r="A1502" s="21"/>
      <c r="B1502" s="21"/>
      <c r="C1502" s="17"/>
      <c r="D1502" s="21"/>
      <c r="E1502" s="21"/>
      <c r="F1502" s="17"/>
      <c r="G1502" s="17"/>
      <c r="H1502" s="93"/>
    </row>
    <row r="1503" spans="1:8" x14ac:dyDescent="0.35">
      <c r="A1503" s="21"/>
      <c r="B1503" s="21"/>
      <c r="C1503" s="17"/>
      <c r="D1503" s="21"/>
      <c r="E1503" s="21"/>
      <c r="F1503" s="17"/>
      <c r="G1503" s="17"/>
      <c r="H1503" s="93"/>
    </row>
    <row r="1504" spans="1:8" x14ac:dyDescent="0.35">
      <c r="A1504" s="21"/>
      <c r="B1504" s="21"/>
      <c r="C1504" s="17"/>
      <c r="D1504" s="21"/>
      <c r="E1504" s="21"/>
      <c r="F1504" s="17"/>
      <c r="G1504" s="17"/>
      <c r="H1504" s="93"/>
    </row>
    <row r="1505" spans="1:8" x14ac:dyDescent="0.35">
      <c r="A1505" s="21"/>
      <c r="B1505" s="21"/>
      <c r="C1505" s="17"/>
      <c r="D1505" s="21"/>
      <c r="E1505" s="21"/>
      <c r="F1505" s="17"/>
      <c r="G1505" s="17"/>
      <c r="H1505" s="93"/>
    </row>
    <row r="1506" spans="1:8" x14ac:dyDescent="0.35">
      <c r="A1506" s="21"/>
      <c r="B1506" s="21"/>
      <c r="C1506" s="17"/>
      <c r="D1506" s="21"/>
      <c r="E1506" s="21"/>
      <c r="F1506" s="17"/>
      <c r="G1506" s="17"/>
      <c r="H1506" s="93"/>
    </row>
    <row r="1507" spans="1:8" x14ac:dyDescent="0.35">
      <c r="A1507" s="21"/>
      <c r="B1507" s="21"/>
      <c r="C1507" s="17"/>
      <c r="D1507" s="21"/>
      <c r="E1507" s="21"/>
      <c r="F1507" s="17"/>
      <c r="G1507" s="17"/>
      <c r="H1507" s="93"/>
    </row>
    <row r="1508" spans="1:8" x14ac:dyDescent="0.35">
      <c r="A1508" s="21"/>
      <c r="B1508" s="21"/>
      <c r="C1508" s="17"/>
      <c r="D1508" s="21"/>
      <c r="E1508" s="21"/>
      <c r="F1508" s="17"/>
      <c r="G1508" s="17"/>
      <c r="H1508" s="93"/>
    </row>
    <row r="1509" spans="1:8" x14ac:dyDescent="0.35">
      <c r="A1509" s="21"/>
      <c r="B1509" s="21"/>
      <c r="C1509" s="17"/>
      <c r="D1509" s="21"/>
      <c r="E1509" s="21"/>
      <c r="F1509" s="17"/>
      <c r="G1509" s="17"/>
      <c r="H1509" s="93"/>
    </row>
    <row r="1510" spans="1:8" x14ac:dyDescent="0.35">
      <c r="A1510" s="21"/>
      <c r="B1510" s="21"/>
      <c r="C1510" s="17"/>
      <c r="D1510" s="21"/>
      <c r="E1510" s="21"/>
      <c r="F1510" s="17"/>
      <c r="G1510" s="17"/>
      <c r="H1510" s="93"/>
    </row>
    <row r="1511" spans="1:8" x14ac:dyDescent="0.35">
      <c r="A1511" s="21"/>
      <c r="B1511" s="21"/>
      <c r="C1511" s="17"/>
      <c r="D1511" s="21"/>
      <c r="E1511" s="21"/>
      <c r="F1511" s="17"/>
      <c r="G1511" s="17"/>
      <c r="H1511" s="93"/>
    </row>
    <row r="1512" spans="1:8" x14ac:dyDescent="0.35">
      <c r="A1512" s="21"/>
      <c r="B1512" s="21"/>
      <c r="C1512" s="17"/>
      <c r="D1512" s="21"/>
      <c r="E1512" s="21"/>
      <c r="F1512" s="17"/>
      <c r="G1512" s="17"/>
      <c r="H1512" s="93"/>
    </row>
    <row r="1513" spans="1:8" x14ac:dyDescent="0.35">
      <c r="A1513" s="21"/>
      <c r="B1513" s="21"/>
      <c r="C1513" s="17"/>
      <c r="D1513" s="21"/>
      <c r="E1513" s="21"/>
      <c r="F1513" s="17"/>
      <c r="G1513" s="17"/>
      <c r="H1513" s="93"/>
    </row>
    <row r="1514" spans="1:8" x14ac:dyDescent="0.35">
      <c r="A1514" s="21"/>
      <c r="B1514" s="21"/>
      <c r="C1514" s="17"/>
      <c r="D1514" s="21"/>
      <c r="E1514" s="21"/>
      <c r="F1514" s="17"/>
      <c r="G1514" s="17"/>
      <c r="H1514" s="93"/>
    </row>
    <row r="1515" spans="1:8" x14ac:dyDescent="0.35">
      <c r="A1515" s="21"/>
      <c r="B1515" s="21"/>
      <c r="C1515" s="17"/>
      <c r="D1515" s="21"/>
      <c r="E1515" s="21"/>
      <c r="F1515" s="17"/>
      <c r="G1515" s="17"/>
      <c r="H1515" s="93"/>
    </row>
    <row r="1516" spans="1:8" x14ac:dyDescent="0.35">
      <c r="A1516" s="21"/>
      <c r="B1516" s="21"/>
      <c r="C1516" s="17"/>
      <c r="D1516" s="21"/>
      <c r="E1516" s="21"/>
      <c r="F1516" s="17"/>
      <c r="G1516" s="17"/>
      <c r="H1516" s="93"/>
    </row>
    <row r="1517" spans="1:8" x14ac:dyDescent="0.35">
      <c r="A1517" s="21"/>
      <c r="B1517" s="21"/>
      <c r="C1517" s="17"/>
      <c r="D1517" s="21"/>
      <c r="E1517" s="21"/>
      <c r="F1517" s="17"/>
      <c r="G1517" s="17"/>
      <c r="H1517" s="93"/>
    </row>
    <row r="1518" spans="1:8" x14ac:dyDescent="0.35">
      <c r="A1518" s="21"/>
      <c r="B1518" s="21"/>
      <c r="C1518" s="17"/>
      <c r="D1518" s="21"/>
      <c r="E1518" s="21"/>
      <c r="F1518" s="17"/>
      <c r="G1518" s="17"/>
      <c r="H1518" s="93"/>
    </row>
    <row r="1519" spans="1:8" x14ac:dyDescent="0.35">
      <c r="A1519" s="21"/>
      <c r="B1519" s="21"/>
      <c r="C1519" s="17"/>
      <c r="D1519" s="21"/>
      <c r="E1519" s="21"/>
      <c r="F1519" s="17"/>
      <c r="G1519" s="17"/>
      <c r="H1519" s="93"/>
    </row>
    <row r="1520" spans="1:8" x14ac:dyDescent="0.35">
      <c r="A1520" s="21"/>
      <c r="B1520" s="21"/>
      <c r="C1520" s="17"/>
      <c r="D1520" s="21"/>
      <c r="E1520" s="21"/>
      <c r="F1520" s="17"/>
      <c r="G1520" s="17"/>
      <c r="H1520" s="93"/>
    </row>
    <row r="1521" spans="1:8" x14ac:dyDescent="0.35">
      <c r="A1521" s="21"/>
      <c r="B1521" s="21"/>
      <c r="C1521" s="17"/>
      <c r="D1521" s="21"/>
      <c r="E1521" s="21"/>
      <c r="F1521" s="17"/>
      <c r="G1521" s="17"/>
      <c r="H1521" s="93"/>
    </row>
    <row r="1522" spans="1:8" x14ac:dyDescent="0.35">
      <c r="A1522" s="21"/>
      <c r="B1522" s="21"/>
      <c r="C1522" s="17"/>
      <c r="D1522" s="21"/>
      <c r="E1522" s="21"/>
      <c r="F1522" s="17"/>
      <c r="G1522" s="17"/>
      <c r="H1522" s="93"/>
    </row>
    <row r="1523" spans="1:8" x14ac:dyDescent="0.35">
      <c r="A1523" s="21"/>
      <c r="B1523" s="21"/>
      <c r="C1523" s="17"/>
      <c r="D1523" s="21"/>
      <c r="E1523" s="21"/>
      <c r="F1523" s="17"/>
      <c r="G1523" s="17"/>
      <c r="H1523" s="93"/>
    </row>
    <row r="1524" spans="1:8" x14ac:dyDescent="0.35">
      <c r="A1524" s="21"/>
      <c r="B1524" s="21"/>
      <c r="C1524" s="17"/>
      <c r="D1524" s="21"/>
      <c r="E1524" s="21"/>
      <c r="F1524" s="17"/>
      <c r="G1524" s="17"/>
      <c r="H1524" s="93"/>
    </row>
    <row r="1525" spans="1:8" x14ac:dyDescent="0.35">
      <c r="A1525" s="21"/>
      <c r="B1525" s="21"/>
      <c r="C1525" s="17"/>
      <c r="D1525" s="21"/>
      <c r="E1525" s="21"/>
      <c r="F1525" s="17"/>
      <c r="G1525" s="17"/>
      <c r="H1525" s="93"/>
    </row>
    <row r="1526" spans="1:8" x14ac:dyDescent="0.35">
      <c r="A1526" s="21"/>
      <c r="B1526" s="21"/>
      <c r="C1526" s="17"/>
      <c r="D1526" s="21"/>
      <c r="E1526" s="21"/>
      <c r="F1526" s="17"/>
      <c r="G1526" s="17"/>
      <c r="H1526" s="93"/>
    </row>
    <row r="1527" spans="1:8" x14ac:dyDescent="0.35">
      <c r="A1527" s="21"/>
      <c r="B1527" s="21"/>
      <c r="C1527" s="17"/>
      <c r="D1527" s="21"/>
      <c r="E1527" s="21"/>
      <c r="F1527" s="17"/>
      <c r="G1527" s="17"/>
      <c r="H1527" s="93"/>
    </row>
    <row r="1528" spans="1:8" x14ac:dyDescent="0.35">
      <c r="A1528" s="21"/>
      <c r="B1528" s="21"/>
      <c r="C1528" s="17"/>
      <c r="D1528" s="21"/>
      <c r="E1528" s="21"/>
      <c r="F1528" s="17"/>
      <c r="G1528" s="17"/>
      <c r="H1528" s="93"/>
    </row>
    <row r="1529" spans="1:8" x14ac:dyDescent="0.35">
      <c r="A1529" s="21"/>
      <c r="B1529" s="21"/>
      <c r="C1529" s="17"/>
      <c r="D1529" s="21"/>
      <c r="E1529" s="21"/>
      <c r="F1529" s="17"/>
      <c r="G1529" s="17"/>
      <c r="H1529" s="93"/>
    </row>
    <row r="1530" spans="1:8" x14ac:dyDescent="0.35">
      <c r="A1530" s="21"/>
      <c r="B1530" s="21"/>
      <c r="C1530" s="17"/>
      <c r="D1530" s="21"/>
      <c r="E1530" s="21"/>
      <c r="F1530" s="17"/>
      <c r="G1530" s="17"/>
      <c r="H1530" s="93"/>
    </row>
    <row r="1531" spans="1:8" x14ac:dyDescent="0.35">
      <c r="A1531" s="21"/>
      <c r="B1531" s="21"/>
      <c r="C1531" s="17"/>
      <c r="D1531" s="21"/>
      <c r="E1531" s="21"/>
      <c r="F1531" s="17"/>
      <c r="G1531" s="17"/>
      <c r="H1531" s="93"/>
    </row>
    <row r="1532" spans="1:8" x14ac:dyDescent="0.35">
      <c r="A1532" s="21"/>
      <c r="B1532" s="21"/>
      <c r="C1532" s="17"/>
      <c r="D1532" s="21"/>
      <c r="E1532" s="21"/>
      <c r="F1532" s="17"/>
      <c r="G1532" s="17"/>
      <c r="H1532" s="93"/>
    </row>
    <row r="1533" spans="1:8" x14ac:dyDescent="0.35">
      <c r="A1533" s="21"/>
      <c r="B1533" s="21"/>
      <c r="C1533" s="17"/>
      <c r="D1533" s="21"/>
      <c r="E1533" s="21"/>
      <c r="F1533" s="17"/>
      <c r="G1533" s="17"/>
      <c r="H1533" s="93"/>
    </row>
    <row r="1534" spans="1:8" x14ac:dyDescent="0.35">
      <c r="A1534" s="21"/>
      <c r="B1534" s="21"/>
      <c r="C1534" s="17"/>
      <c r="D1534" s="21"/>
      <c r="E1534" s="21"/>
      <c r="F1534" s="17"/>
      <c r="G1534" s="17"/>
      <c r="H1534" s="93"/>
    </row>
    <row r="1535" spans="1:8" x14ac:dyDescent="0.35">
      <c r="A1535" s="21"/>
      <c r="B1535" s="21"/>
      <c r="C1535" s="17"/>
      <c r="D1535" s="21"/>
      <c r="E1535" s="21"/>
      <c r="F1535" s="17"/>
      <c r="G1535" s="17"/>
      <c r="H1535" s="93"/>
    </row>
    <row r="1536" spans="1:8" x14ac:dyDescent="0.35">
      <c r="A1536" s="21"/>
      <c r="B1536" s="21"/>
      <c r="C1536" s="17"/>
      <c r="D1536" s="21"/>
      <c r="E1536" s="21"/>
      <c r="F1536" s="17"/>
      <c r="G1536" s="17"/>
      <c r="H1536" s="93"/>
    </row>
    <row r="1537" spans="1:8" x14ac:dyDescent="0.35">
      <c r="A1537" s="21"/>
      <c r="B1537" s="21"/>
      <c r="C1537" s="17"/>
      <c r="D1537" s="21"/>
      <c r="E1537" s="21"/>
      <c r="F1537" s="17"/>
      <c r="G1537" s="17"/>
      <c r="H1537" s="93"/>
    </row>
    <row r="1538" spans="1:8" x14ac:dyDescent="0.35">
      <c r="A1538" s="21"/>
      <c r="B1538" s="21"/>
      <c r="C1538" s="17"/>
      <c r="D1538" s="21"/>
      <c r="E1538" s="21"/>
      <c r="F1538" s="17"/>
      <c r="G1538" s="17"/>
      <c r="H1538" s="93"/>
    </row>
    <row r="1539" spans="1:8" x14ac:dyDescent="0.35">
      <c r="A1539" s="21"/>
      <c r="B1539" s="21"/>
      <c r="C1539" s="17"/>
      <c r="D1539" s="21"/>
      <c r="E1539" s="21"/>
      <c r="F1539" s="17"/>
      <c r="G1539" s="17"/>
      <c r="H1539" s="93"/>
    </row>
    <row r="1540" spans="1:8" x14ac:dyDescent="0.35">
      <c r="A1540" s="21"/>
      <c r="B1540" s="21"/>
      <c r="C1540" s="17"/>
      <c r="D1540" s="21"/>
      <c r="E1540" s="21"/>
      <c r="F1540" s="17"/>
      <c r="G1540" s="17"/>
      <c r="H1540" s="93"/>
    </row>
    <row r="1541" spans="1:8" x14ac:dyDescent="0.35">
      <c r="A1541" s="21"/>
      <c r="B1541" s="21"/>
      <c r="C1541" s="17"/>
      <c r="D1541" s="21"/>
      <c r="E1541" s="21"/>
      <c r="F1541" s="17"/>
      <c r="G1541" s="17"/>
      <c r="H1541" s="93"/>
    </row>
    <row r="1542" spans="1:8" x14ac:dyDescent="0.35">
      <c r="A1542" s="21"/>
      <c r="B1542" s="21"/>
      <c r="C1542" s="17"/>
      <c r="D1542" s="21"/>
      <c r="E1542" s="21"/>
      <c r="F1542" s="17"/>
      <c r="G1542" s="17"/>
      <c r="H1542" s="93"/>
    </row>
    <row r="1543" spans="1:8" x14ac:dyDescent="0.35">
      <c r="A1543" s="21"/>
      <c r="B1543" s="21"/>
      <c r="C1543" s="17"/>
      <c r="D1543" s="21"/>
      <c r="E1543" s="21"/>
      <c r="F1543" s="17"/>
      <c r="G1543" s="17"/>
      <c r="H1543" s="93"/>
    </row>
    <row r="1544" spans="1:8" x14ac:dyDescent="0.35">
      <c r="A1544" s="21"/>
      <c r="B1544" s="21"/>
      <c r="C1544" s="17"/>
      <c r="D1544" s="21"/>
      <c r="E1544" s="21"/>
      <c r="F1544" s="17"/>
      <c r="G1544" s="17"/>
      <c r="H1544" s="93"/>
    </row>
    <row r="1545" spans="1:8" x14ac:dyDescent="0.35">
      <c r="A1545" s="21"/>
      <c r="B1545" s="21"/>
      <c r="C1545" s="17"/>
      <c r="D1545" s="21"/>
      <c r="E1545" s="21"/>
      <c r="F1545" s="17"/>
      <c r="G1545" s="17"/>
      <c r="H1545" s="93"/>
    </row>
    <row r="1546" spans="1:8" x14ac:dyDescent="0.35">
      <c r="A1546" s="21"/>
      <c r="B1546" s="21"/>
      <c r="C1546" s="17"/>
      <c r="D1546" s="21"/>
      <c r="E1546" s="21"/>
      <c r="F1546" s="17"/>
      <c r="G1546" s="17"/>
      <c r="H1546" s="93"/>
    </row>
    <row r="1547" spans="1:8" x14ac:dyDescent="0.35">
      <c r="A1547" s="21"/>
      <c r="B1547" s="21"/>
      <c r="C1547" s="17"/>
      <c r="D1547" s="21"/>
      <c r="E1547" s="21"/>
      <c r="F1547" s="17"/>
      <c r="G1547" s="17"/>
      <c r="H1547" s="93"/>
    </row>
    <row r="1548" spans="1:8" x14ac:dyDescent="0.35">
      <c r="A1548" s="21"/>
      <c r="B1548" s="21"/>
      <c r="C1548" s="17"/>
      <c r="D1548" s="21"/>
      <c r="E1548" s="21"/>
      <c r="F1548" s="17"/>
      <c r="G1548" s="17"/>
      <c r="H1548" s="93"/>
    </row>
    <row r="1549" spans="1:8" x14ac:dyDescent="0.35">
      <c r="A1549" s="21"/>
      <c r="B1549" s="21"/>
      <c r="C1549" s="17"/>
      <c r="D1549" s="21"/>
      <c r="E1549" s="21"/>
      <c r="F1549" s="17"/>
      <c r="G1549" s="17"/>
      <c r="H1549" s="93"/>
    </row>
    <row r="1550" spans="1:8" x14ac:dyDescent="0.35">
      <c r="A1550" s="21"/>
      <c r="B1550" s="21"/>
      <c r="C1550" s="17"/>
      <c r="D1550" s="21"/>
      <c r="E1550" s="21"/>
      <c r="F1550" s="17"/>
      <c r="G1550" s="17"/>
      <c r="H1550" s="93"/>
    </row>
    <row r="1551" spans="1:8" x14ac:dyDescent="0.35">
      <c r="A1551" s="21"/>
      <c r="B1551" s="21"/>
      <c r="C1551" s="17"/>
      <c r="D1551" s="21"/>
      <c r="E1551" s="21"/>
      <c r="F1551" s="17"/>
      <c r="G1551" s="17"/>
      <c r="H1551" s="93"/>
    </row>
    <row r="1552" spans="1:8" x14ac:dyDescent="0.35">
      <c r="A1552" s="21"/>
      <c r="B1552" s="21"/>
      <c r="C1552" s="17"/>
      <c r="D1552" s="21"/>
      <c r="E1552" s="21"/>
      <c r="F1552" s="17"/>
      <c r="G1552" s="17"/>
      <c r="H1552" s="93"/>
    </row>
    <row r="1553" spans="1:8" x14ac:dyDescent="0.35">
      <c r="A1553" s="21"/>
      <c r="B1553" s="21"/>
      <c r="C1553" s="17"/>
      <c r="D1553" s="21"/>
      <c r="E1553" s="21"/>
      <c r="F1553" s="17"/>
      <c r="G1553" s="17"/>
      <c r="H1553" s="93"/>
    </row>
    <row r="1554" spans="1:8" x14ac:dyDescent="0.35">
      <c r="A1554" s="21"/>
      <c r="B1554" s="21"/>
      <c r="C1554" s="17"/>
      <c r="D1554" s="21"/>
      <c r="E1554" s="21"/>
      <c r="F1554" s="17"/>
      <c r="G1554" s="17"/>
      <c r="H1554" s="93"/>
    </row>
    <row r="1555" spans="1:8" x14ac:dyDescent="0.35">
      <c r="A1555" s="21"/>
      <c r="B1555" s="21"/>
      <c r="C1555" s="17"/>
      <c r="D1555" s="21"/>
      <c r="E1555" s="21"/>
      <c r="F1555" s="17"/>
      <c r="G1555" s="17"/>
      <c r="H1555" s="93"/>
    </row>
    <row r="1556" spans="1:8" x14ac:dyDescent="0.35">
      <c r="A1556" s="21"/>
      <c r="B1556" s="21"/>
      <c r="C1556" s="17"/>
      <c r="D1556" s="21"/>
      <c r="E1556" s="21"/>
      <c r="F1556" s="17"/>
      <c r="G1556" s="17"/>
      <c r="H1556" s="93"/>
    </row>
    <row r="1557" spans="1:8" x14ac:dyDescent="0.35">
      <c r="A1557" s="21"/>
      <c r="B1557" s="21"/>
      <c r="C1557" s="17"/>
      <c r="D1557" s="21"/>
      <c r="E1557" s="21"/>
      <c r="F1557" s="17"/>
      <c r="G1557" s="17"/>
      <c r="H1557" s="93"/>
    </row>
    <row r="1558" spans="1:8" x14ac:dyDescent="0.35">
      <c r="A1558" s="21"/>
      <c r="B1558" s="21"/>
      <c r="C1558" s="17"/>
      <c r="D1558" s="21"/>
      <c r="E1558" s="21"/>
      <c r="F1558" s="17"/>
      <c r="G1558" s="17"/>
      <c r="H1558" s="93"/>
    </row>
    <row r="1559" spans="1:8" x14ac:dyDescent="0.35">
      <c r="A1559" s="21"/>
      <c r="B1559" s="21"/>
      <c r="C1559" s="17"/>
      <c r="D1559" s="21"/>
      <c r="E1559" s="21"/>
      <c r="F1559" s="17"/>
      <c r="G1559" s="17"/>
      <c r="H1559" s="93"/>
    </row>
    <row r="1560" spans="1:8" x14ac:dyDescent="0.35">
      <c r="A1560" s="21"/>
      <c r="B1560" s="21"/>
      <c r="C1560" s="17"/>
      <c r="D1560" s="21"/>
      <c r="E1560" s="21"/>
      <c r="F1560" s="17"/>
      <c r="G1560" s="17"/>
      <c r="H1560" s="93"/>
    </row>
    <row r="1561" spans="1:8" x14ac:dyDescent="0.35">
      <c r="A1561" s="21"/>
      <c r="B1561" s="21"/>
      <c r="C1561" s="17"/>
      <c r="D1561" s="21"/>
      <c r="E1561" s="21"/>
      <c r="F1561" s="17"/>
      <c r="G1561" s="17"/>
      <c r="H1561" s="93"/>
    </row>
    <row r="1562" spans="1:8" x14ac:dyDescent="0.35">
      <c r="A1562" s="21"/>
      <c r="B1562" s="21"/>
      <c r="C1562" s="17"/>
      <c r="D1562" s="21"/>
      <c r="E1562" s="21"/>
      <c r="F1562" s="17"/>
      <c r="G1562" s="17"/>
      <c r="H1562" s="93"/>
    </row>
    <row r="1563" spans="1:8" x14ac:dyDescent="0.35">
      <c r="A1563" s="21"/>
      <c r="B1563" s="21"/>
      <c r="C1563" s="17"/>
      <c r="D1563" s="21"/>
      <c r="E1563" s="21"/>
      <c r="F1563" s="17"/>
      <c r="G1563" s="17"/>
      <c r="H1563" s="93"/>
    </row>
    <row r="1564" spans="1:8" x14ac:dyDescent="0.35">
      <c r="A1564" s="21"/>
      <c r="B1564" s="21"/>
      <c r="C1564" s="17"/>
      <c r="D1564" s="21"/>
      <c r="E1564" s="21"/>
      <c r="F1564" s="17"/>
      <c r="G1564" s="17"/>
      <c r="H1564" s="93"/>
    </row>
    <row r="1565" spans="1:8" x14ac:dyDescent="0.35">
      <c r="A1565" s="21"/>
      <c r="B1565" s="21"/>
      <c r="C1565" s="17"/>
      <c r="D1565" s="21"/>
      <c r="E1565" s="21"/>
      <c r="F1565" s="17"/>
      <c r="G1565" s="17"/>
      <c r="H1565" s="93"/>
    </row>
    <row r="1566" spans="1:8" x14ac:dyDescent="0.35">
      <c r="A1566" s="21"/>
      <c r="B1566" s="21"/>
      <c r="C1566" s="17"/>
      <c r="D1566" s="21"/>
      <c r="E1566" s="21"/>
      <c r="F1566" s="17"/>
      <c r="G1566" s="17"/>
      <c r="H1566" s="93"/>
    </row>
    <row r="1567" spans="1:8" x14ac:dyDescent="0.35">
      <c r="A1567" s="21"/>
      <c r="B1567" s="21"/>
      <c r="C1567" s="17"/>
      <c r="D1567" s="21"/>
      <c r="E1567" s="21"/>
      <c r="F1567" s="17"/>
      <c r="G1567" s="17"/>
      <c r="H1567" s="93"/>
    </row>
    <row r="1568" spans="1:8" x14ac:dyDescent="0.35">
      <c r="A1568" s="21"/>
      <c r="B1568" s="21"/>
      <c r="C1568" s="17"/>
      <c r="D1568" s="21"/>
      <c r="E1568" s="21"/>
      <c r="F1568" s="17"/>
      <c r="G1568" s="17"/>
      <c r="H1568" s="93"/>
    </row>
    <row r="1569" spans="1:8" x14ac:dyDescent="0.35">
      <c r="A1569" s="21"/>
      <c r="B1569" s="21"/>
      <c r="C1569" s="17"/>
      <c r="D1569" s="21"/>
      <c r="E1569" s="21"/>
      <c r="F1569" s="17"/>
      <c r="G1569" s="17"/>
      <c r="H1569" s="93"/>
    </row>
    <row r="1570" spans="1:8" x14ac:dyDescent="0.35">
      <c r="A1570" s="21"/>
      <c r="B1570" s="21"/>
      <c r="C1570" s="17"/>
      <c r="D1570" s="21"/>
      <c r="E1570" s="21"/>
      <c r="F1570" s="17"/>
      <c r="G1570" s="17"/>
      <c r="H1570" s="93"/>
    </row>
    <row r="1571" spans="1:8" x14ac:dyDescent="0.35">
      <c r="A1571" s="21"/>
      <c r="B1571" s="21"/>
      <c r="C1571" s="17"/>
      <c r="D1571" s="21"/>
      <c r="E1571" s="21"/>
      <c r="F1571" s="17"/>
      <c r="G1571" s="17"/>
      <c r="H1571" s="93"/>
    </row>
    <row r="1572" spans="1:8" x14ac:dyDescent="0.35">
      <c r="A1572" s="21"/>
      <c r="B1572" s="21"/>
      <c r="C1572" s="17"/>
      <c r="D1572" s="21"/>
      <c r="E1572" s="21"/>
      <c r="F1572" s="17"/>
      <c r="G1572" s="17"/>
      <c r="H1572" s="93"/>
    </row>
    <row r="1573" spans="1:8" x14ac:dyDescent="0.35">
      <c r="A1573" s="21"/>
      <c r="B1573" s="21"/>
      <c r="C1573" s="17"/>
      <c r="D1573" s="21"/>
      <c r="E1573" s="21"/>
      <c r="F1573" s="17"/>
      <c r="G1573" s="17"/>
      <c r="H1573" s="93"/>
    </row>
    <row r="1574" spans="1:8" x14ac:dyDescent="0.35">
      <c r="A1574" s="21"/>
      <c r="B1574" s="21"/>
      <c r="C1574" s="17"/>
      <c r="D1574" s="21"/>
      <c r="E1574" s="21"/>
      <c r="F1574" s="17"/>
      <c r="G1574" s="17"/>
      <c r="H1574" s="93"/>
    </row>
    <row r="1575" spans="1:8" x14ac:dyDescent="0.35">
      <c r="A1575" s="21"/>
      <c r="B1575" s="21"/>
      <c r="C1575" s="17"/>
      <c r="D1575" s="21"/>
      <c r="E1575" s="21"/>
      <c r="F1575" s="17"/>
      <c r="G1575" s="17"/>
      <c r="H1575" s="93"/>
    </row>
    <row r="1576" spans="1:8" x14ac:dyDescent="0.35">
      <c r="A1576" s="21"/>
      <c r="B1576" s="21"/>
      <c r="C1576" s="17"/>
      <c r="D1576" s="21"/>
      <c r="E1576" s="21"/>
      <c r="F1576" s="17"/>
      <c r="G1576" s="17"/>
      <c r="H1576" s="93"/>
    </row>
    <row r="1577" spans="1:8" x14ac:dyDescent="0.35">
      <c r="A1577" s="21"/>
      <c r="B1577" s="21"/>
      <c r="C1577" s="17"/>
      <c r="D1577" s="21"/>
      <c r="E1577" s="21"/>
      <c r="F1577" s="17"/>
      <c r="G1577" s="17"/>
      <c r="H1577" s="93"/>
    </row>
    <row r="1578" spans="1:8" x14ac:dyDescent="0.35">
      <c r="A1578" s="21"/>
      <c r="B1578" s="21"/>
      <c r="C1578" s="17"/>
      <c r="D1578" s="21"/>
      <c r="E1578" s="21"/>
      <c r="F1578" s="17"/>
      <c r="G1578" s="17"/>
      <c r="H1578" s="93"/>
    </row>
    <row r="1579" spans="1:8" x14ac:dyDescent="0.35">
      <c r="A1579" s="21"/>
      <c r="B1579" s="21"/>
      <c r="C1579" s="17"/>
      <c r="D1579" s="21"/>
      <c r="E1579" s="21"/>
      <c r="F1579" s="17"/>
      <c r="G1579" s="17"/>
      <c r="H1579" s="93"/>
    </row>
    <row r="1580" spans="1:8" x14ac:dyDescent="0.35">
      <c r="A1580" s="21"/>
      <c r="B1580" s="21"/>
      <c r="C1580" s="17"/>
      <c r="D1580" s="21"/>
      <c r="E1580" s="21"/>
      <c r="F1580" s="17"/>
      <c r="G1580" s="17"/>
      <c r="H1580" s="93"/>
    </row>
    <row r="1581" spans="1:8" x14ac:dyDescent="0.35">
      <c r="A1581" s="21"/>
      <c r="B1581" s="21"/>
      <c r="C1581" s="17"/>
      <c r="D1581" s="21"/>
      <c r="E1581" s="21"/>
      <c r="F1581" s="17"/>
      <c r="G1581" s="17"/>
      <c r="H1581" s="93"/>
    </row>
    <row r="1582" spans="1:8" x14ac:dyDescent="0.35">
      <c r="A1582" s="21"/>
      <c r="B1582" s="21"/>
      <c r="C1582" s="17"/>
      <c r="D1582" s="21"/>
      <c r="E1582" s="21"/>
      <c r="F1582" s="17"/>
      <c r="G1582" s="17"/>
      <c r="H1582" s="93"/>
    </row>
    <row r="1583" spans="1:8" x14ac:dyDescent="0.35">
      <c r="A1583" s="21"/>
      <c r="B1583" s="21"/>
      <c r="C1583" s="17"/>
      <c r="D1583" s="21"/>
      <c r="E1583" s="21"/>
      <c r="F1583" s="17"/>
      <c r="G1583" s="17"/>
      <c r="H1583" s="93"/>
    </row>
    <row r="1584" spans="1:8" x14ac:dyDescent="0.35">
      <c r="A1584" s="21"/>
      <c r="B1584" s="21"/>
      <c r="C1584" s="17"/>
      <c r="D1584" s="21"/>
      <c r="E1584" s="21"/>
      <c r="F1584" s="17"/>
      <c r="G1584" s="17"/>
      <c r="H1584" s="93"/>
    </row>
    <row r="1585" spans="1:8" x14ac:dyDescent="0.35">
      <c r="A1585" s="21"/>
      <c r="B1585" s="21"/>
      <c r="C1585" s="17"/>
      <c r="D1585" s="21"/>
      <c r="E1585" s="21"/>
      <c r="F1585" s="17"/>
      <c r="G1585" s="17"/>
      <c r="H1585" s="93"/>
    </row>
    <row r="1586" spans="1:8" x14ac:dyDescent="0.35">
      <c r="A1586" s="21"/>
      <c r="B1586" s="21"/>
      <c r="C1586" s="17"/>
      <c r="D1586" s="21"/>
      <c r="E1586" s="21"/>
      <c r="F1586" s="17"/>
      <c r="G1586" s="17"/>
      <c r="H1586" s="93"/>
    </row>
    <row r="1587" spans="1:8" x14ac:dyDescent="0.35">
      <c r="A1587" s="21"/>
      <c r="B1587" s="21"/>
      <c r="C1587" s="17"/>
      <c r="D1587" s="21"/>
      <c r="E1587" s="21"/>
      <c r="F1587" s="17"/>
      <c r="G1587" s="17"/>
      <c r="H1587" s="93"/>
    </row>
    <row r="1588" spans="1:8" x14ac:dyDescent="0.35">
      <c r="A1588" s="21"/>
      <c r="B1588" s="21"/>
      <c r="C1588" s="17"/>
      <c r="D1588" s="21"/>
      <c r="E1588" s="21"/>
      <c r="F1588" s="17"/>
      <c r="G1588" s="17"/>
      <c r="H1588" s="93"/>
    </row>
    <row r="1589" spans="1:8" x14ac:dyDescent="0.35">
      <c r="A1589" s="21"/>
      <c r="B1589" s="21"/>
      <c r="C1589" s="17"/>
      <c r="D1589" s="21"/>
      <c r="E1589" s="21"/>
      <c r="F1589" s="17"/>
      <c r="G1589" s="17"/>
      <c r="H1589" s="93"/>
    </row>
    <row r="1590" spans="1:8" x14ac:dyDescent="0.35">
      <c r="A1590" s="21"/>
      <c r="B1590" s="21"/>
      <c r="C1590" s="17"/>
      <c r="D1590" s="21"/>
      <c r="E1590" s="21"/>
      <c r="F1590" s="17"/>
      <c r="G1590" s="17"/>
      <c r="H1590" s="93"/>
    </row>
    <row r="1591" spans="1:8" x14ac:dyDescent="0.35">
      <c r="A1591" s="21"/>
      <c r="B1591" s="21"/>
      <c r="C1591" s="17"/>
      <c r="D1591" s="21"/>
      <c r="E1591" s="21"/>
      <c r="F1591" s="17"/>
      <c r="G1591" s="17"/>
      <c r="H1591" s="93"/>
    </row>
    <row r="1592" spans="1:8" x14ac:dyDescent="0.35">
      <c r="A1592" s="21"/>
      <c r="B1592" s="21"/>
      <c r="C1592" s="17"/>
      <c r="D1592" s="21"/>
      <c r="E1592" s="21"/>
      <c r="F1592" s="17"/>
      <c r="G1592" s="17"/>
      <c r="H1592" s="93"/>
    </row>
    <row r="1593" spans="1:8" x14ac:dyDescent="0.35">
      <c r="A1593" s="21"/>
      <c r="B1593" s="21"/>
      <c r="C1593" s="17"/>
      <c r="D1593" s="21"/>
      <c r="E1593" s="21"/>
      <c r="F1593" s="17"/>
      <c r="G1593" s="17"/>
      <c r="H1593" s="93"/>
    </row>
    <row r="1594" spans="1:8" x14ac:dyDescent="0.35">
      <c r="A1594" s="21"/>
      <c r="B1594" s="21"/>
      <c r="C1594" s="17"/>
      <c r="D1594" s="21"/>
      <c r="E1594" s="21"/>
      <c r="F1594" s="17"/>
      <c r="G1594" s="17"/>
      <c r="H1594" s="93"/>
    </row>
    <row r="1595" spans="1:8" x14ac:dyDescent="0.35">
      <c r="A1595" s="21"/>
      <c r="B1595" s="21"/>
      <c r="C1595" s="17"/>
      <c r="D1595" s="21"/>
      <c r="E1595" s="21"/>
      <c r="F1595" s="17"/>
      <c r="G1595" s="17"/>
      <c r="H1595" s="93"/>
    </row>
    <row r="1596" spans="1:8" x14ac:dyDescent="0.35">
      <c r="A1596" s="21"/>
      <c r="B1596" s="21"/>
      <c r="C1596" s="17"/>
      <c r="D1596" s="21"/>
      <c r="E1596" s="21"/>
      <c r="F1596" s="17"/>
      <c r="G1596" s="17"/>
      <c r="H1596" s="93"/>
    </row>
    <row r="1597" spans="1:8" x14ac:dyDescent="0.35">
      <c r="A1597" s="21"/>
      <c r="B1597" s="21"/>
      <c r="C1597" s="17"/>
      <c r="D1597" s="21"/>
      <c r="E1597" s="21"/>
      <c r="F1597" s="17"/>
      <c r="G1597" s="17"/>
      <c r="H1597" s="93"/>
    </row>
    <row r="1598" spans="1:8" x14ac:dyDescent="0.35">
      <c r="A1598" s="21"/>
      <c r="B1598" s="21"/>
      <c r="C1598" s="17"/>
      <c r="D1598" s="21"/>
      <c r="E1598" s="21"/>
      <c r="F1598" s="17"/>
      <c r="G1598" s="17"/>
      <c r="H1598" s="93"/>
    </row>
    <row r="1599" spans="1:8" x14ac:dyDescent="0.35">
      <c r="A1599" s="21"/>
      <c r="B1599" s="21"/>
      <c r="C1599" s="17"/>
      <c r="D1599" s="21"/>
      <c r="E1599" s="21"/>
      <c r="F1599" s="17"/>
      <c r="G1599" s="17"/>
      <c r="H1599" s="93"/>
    </row>
    <row r="1600" spans="1:8" x14ac:dyDescent="0.35">
      <c r="A1600" s="21"/>
      <c r="B1600" s="21"/>
      <c r="C1600" s="17"/>
      <c r="D1600" s="21"/>
      <c r="E1600" s="21"/>
      <c r="F1600" s="17"/>
      <c r="G1600" s="17"/>
      <c r="H1600" s="93"/>
    </row>
    <row r="1601" spans="1:8" x14ac:dyDescent="0.35">
      <c r="A1601" s="21"/>
      <c r="B1601" s="21"/>
      <c r="C1601" s="17"/>
      <c r="D1601" s="21"/>
      <c r="E1601" s="21"/>
      <c r="F1601" s="17"/>
      <c r="G1601" s="17"/>
      <c r="H1601" s="93"/>
    </row>
    <row r="1602" spans="1:8" x14ac:dyDescent="0.35">
      <c r="A1602" s="21"/>
      <c r="B1602" s="21"/>
      <c r="C1602" s="17"/>
      <c r="D1602" s="21"/>
      <c r="E1602" s="21"/>
      <c r="F1602" s="17"/>
      <c r="G1602" s="17"/>
      <c r="H1602" s="93"/>
    </row>
    <row r="1603" spans="1:8" x14ac:dyDescent="0.35">
      <c r="A1603" s="21"/>
      <c r="B1603" s="21"/>
      <c r="C1603" s="17"/>
      <c r="D1603" s="21"/>
      <c r="E1603" s="21"/>
      <c r="F1603" s="17"/>
      <c r="G1603" s="17"/>
      <c r="H1603" s="93"/>
    </row>
    <row r="1604" spans="1:8" x14ac:dyDescent="0.35">
      <c r="A1604" s="21"/>
      <c r="B1604" s="21"/>
      <c r="C1604" s="17"/>
      <c r="D1604" s="21"/>
      <c r="E1604" s="21"/>
      <c r="F1604" s="17"/>
      <c r="G1604" s="17"/>
      <c r="H1604" s="93"/>
    </row>
    <row r="1605" spans="1:8" x14ac:dyDescent="0.35">
      <c r="A1605" s="21"/>
      <c r="B1605" s="21"/>
      <c r="C1605" s="17"/>
      <c r="D1605" s="21"/>
      <c r="E1605" s="21"/>
      <c r="F1605" s="17"/>
      <c r="G1605" s="17"/>
      <c r="H1605" s="93"/>
    </row>
    <row r="1606" spans="1:8" x14ac:dyDescent="0.35">
      <c r="A1606" s="21"/>
      <c r="B1606" s="21"/>
      <c r="C1606" s="17"/>
      <c r="D1606" s="21"/>
      <c r="E1606" s="21"/>
      <c r="F1606" s="17"/>
      <c r="G1606" s="17"/>
      <c r="H1606" s="93"/>
    </row>
    <row r="1607" spans="1:8" x14ac:dyDescent="0.35">
      <c r="A1607" s="21"/>
      <c r="B1607" s="21"/>
      <c r="C1607" s="17"/>
      <c r="D1607" s="21"/>
      <c r="E1607" s="21"/>
      <c r="F1607" s="17"/>
      <c r="G1607" s="17"/>
      <c r="H1607" s="93"/>
    </row>
    <row r="1608" spans="1:8" x14ac:dyDescent="0.35">
      <c r="A1608" s="21"/>
      <c r="B1608" s="21"/>
      <c r="C1608" s="17"/>
      <c r="D1608" s="21"/>
      <c r="E1608" s="21"/>
      <c r="F1608" s="17"/>
      <c r="G1608" s="17"/>
      <c r="H1608" s="93"/>
    </row>
    <row r="1609" spans="1:8" x14ac:dyDescent="0.35">
      <c r="A1609" s="21"/>
      <c r="B1609" s="21"/>
      <c r="C1609" s="17"/>
      <c r="D1609" s="21"/>
      <c r="E1609" s="21"/>
      <c r="F1609" s="17"/>
      <c r="G1609" s="17"/>
      <c r="H1609" s="93"/>
    </row>
    <row r="1610" spans="1:8" x14ac:dyDescent="0.35">
      <c r="A1610" s="21"/>
      <c r="B1610" s="21"/>
      <c r="C1610" s="17"/>
      <c r="D1610" s="21"/>
      <c r="E1610" s="21"/>
      <c r="F1610" s="17"/>
      <c r="G1610" s="17"/>
      <c r="H1610" s="93"/>
    </row>
    <row r="1611" spans="1:8" x14ac:dyDescent="0.35">
      <c r="A1611" s="21"/>
      <c r="B1611" s="21"/>
      <c r="C1611" s="17"/>
      <c r="D1611" s="21"/>
      <c r="E1611" s="21"/>
      <c r="F1611" s="17"/>
      <c r="G1611" s="17"/>
      <c r="H1611" s="93"/>
    </row>
    <row r="1612" spans="1:8" x14ac:dyDescent="0.35">
      <c r="A1612" s="21"/>
      <c r="B1612" s="21"/>
      <c r="C1612" s="17"/>
      <c r="D1612" s="21"/>
      <c r="E1612" s="21"/>
      <c r="F1612" s="17"/>
      <c r="G1612" s="17"/>
      <c r="H1612" s="93"/>
    </row>
    <row r="1613" spans="1:8" x14ac:dyDescent="0.35">
      <c r="A1613" s="21"/>
      <c r="B1613" s="21"/>
      <c r="C1613" s="17"/>
      <c r="D1613" s="21"/>
      <c r="E1613" s="21"/>
      <c r="F1613" s="17"/>
      <c r="G1613" s="17"/>
      <c r="H1613" s="93"/>
    </row>
    <row r="1614" spans="1:8" x14ac:dyDescent="0.35">
      <c r="A1614" s="21"/>
      <c r="B1614" s="21"/>
      <c r="C1614" s="17"/>
      <c r="D1614" s="21"/>
      <c r="E1614" s="21"/>
      <c r="F1614" s="17"/>
      <c r="G1614" s="17"/>
      <c r="H1614" s="93"/>
    </row>
    <row r="1615" spans="1:8" x14ac:dyDescent="0.35">
      <c r="A1615" s="21"/>
      <c r="B1615" s="21"/>
      <c r="C1615" s="17"/>
      <c r="D1615" s="21"/>
      <c r="E1615" s="21"/>
      <c r="F1615" s="17"/>
      <c r="G1615" s="17"/>
      <c r="H1615" s="93"/>
    </row>
    <row r="1616" spans="1:8" x14ac:dyDescent="0.35">
      <c r="A1616" s="21"/>
      <c r="B1616" s="21"/>
      <c r="C1616" s="17"/>
      <c r="D1616" s="21"/>
      <c r="E1616" s="21"/>
      <c r="F1616" s="17"/>
      <c r="G1616" s="17"/>
      <c r="H1616" s="93"/>
    </row>
    <row r="1617" spans="1:8" x14ac:dyDescent="0.35">
      <c r="A1617" s="21"/>
      <c r="B1617" s="21"/>
      <c r="C1617" s="17"/>
      <c r="D1617" s="21"/>
      <c r="E1617" s="21"/>
      <c r="F1617" s="17"/>
      <c r="G1617" s="17"/>
      <c r="H1617" s="93"/>
    </row>
    <row r="1618" spans="1:8" x14ac:dyDescent="0.35">
      <c r="A1618" s="21"/>
      <c r="B1618" s="21"/>
      <c r="C1618" s="17"/>
      <c r="D1618" s="21"/>
      <c r="E1618" s="21"/>
      <c r="F1618" s="17"/>
      <c r="G1618" s="17"/>
      <c r="H1618" s="93"/>
    </row>
    <row r="1619" spans="1:8" x14ac:dyDescent="0.35">
      <c r="A1619" s="21"/>
      <c r="B1619" s="21"/>
      <c r="C1619" s="17"/>
      <c r="D1619" s="21"/>
      <c r="E1619" s="21"/>
      <c r="F1619" s="17"/>
      <c r="G1619" s="17"/>
      <c r="H1619" s="93"/>
    </row>
    <row r="1620" spans="1:8" x14ac:dyDescent="0.35">
      <c r="A1620" s="21"/>
      <c r="B1620" s="21"/>
      <c r="C1620" s="17"/>
      <c r="D1620" s="21"/>
      <c r="E1620" s="21"/>
      <c r="F1620" s="17"/>
      <c r="G1620" s="17"/>
      <c r="H1620" s="93"/>
    </row>
    <row r="1621" spans="1:8" x14ac:dyDescent="0.35">
      <c r="A1621" s="21"/>
      <c r="B1621" s="21"/>
      <c r="C1621" s="17"/>
      <c r="D1621" s="21"/>
      <c r="E1621" s="21"/>
      <c r="F1621" s="17"/>
      <c r="G1621" s="17"/>
      <c r="H1621" s="93"/>
    </row>
    <row r="1622" spans="1:8" x14ac:dyDescent="0.35">
      <c r="A1622" s="21"/>
      <c r="B1622" s="21"/>
      <c r="C1622" s="17"/>
      <c r="D1622" s="21"/>
      <c r="E1622" s="21"/>
      <c r="F1622" s="17"/>
      <c r="G1622" s="17"/>
      <c r="H1622" s="93"/>
    </row>
    <row r="1623" spans="1:8" x14ac:dyDescent="0.35">
      <c r="A1623" s="21"/>
      <c r="B1623" s="21"/>
      <c r="C1623" s="17"/>
      <c r="D1623" s="21"/>
      <c r="E1623" s="21"/>
      <c r="F1623" s="17"/>
      <c r="G1623" s="17"/>
      <c r="H1623" s="93"/>
    </row>
    <row r="1624" spans="1:8" x14ac:dyDescent="0.35">
      <c r="A1624" s="21"/>
      <c r="B1624" s="21"/>
      <c r="C1624" s="17"/>
      <c r="D1624" s="21"/>
      <c r="E1624" s="21"/>
      <c r="F1624" s="17"/>
      <c r="G1624" s="17"/>
      <c r="H1624" s="93"/>
    </row>
    <row r="1625" spans="1:8" x14ac:dyDescent="0.35">
      <c r="A1625" s="21"/>
      <c r="B1625" s="21"/>
      <c r="C1625" s="17"/>
      <c r="D1625" s="21"/>
      <c r="E1625" s="21"/>
      <c r="F1625" s="17"/>
      <c r="G1625" s="17"/>
      <c r="H1625" s="93"/>
    </row>
    <row r="1626" spans="1:8" x14ac:dyDescent="0.35">
      <c r="A1626" s="21"/>
      <c r="B1626" s="21"/>
      <c r="C1626" s="17"/>
      <c r="D1626" s="21"/>
      <c r="E1626" s="21"/>
      <c r="F1626" s="17"/>
      <c r="G1626" s="17"/>
      <c r="H1626" s="93"/>
    </row>
    <row r="1627" spans="1:8" x14ac:dyDescent="0.35">
      <c r="A1627" s="21"/>
      <c r="B1627" s="21"/>
      <c r="C1627" s="17"/>
      <c r="D1627" s="21"/>
      <c r="E1627" s="21"/>
      <c r="F1627" s="17"/>
      <c r="G1627" s="17"/>
      <c r="H1627" s="93"/>
    </row>
    <row r="1628" spans="1:8" x14ac:dyDescent="0.35">
      <c r="A1628" s="21"/>
      <c r="B1628" s="21"/>
      <c r="C1628" s="17"/>
      <c r="D1628" s="21"/>
      <c r="E1628" s="21"/>
      <c r="F1628" s="17"/>
      <c r="G1628" s="17"/>
      <c r="H1628" s="93"/>
    </row>
    <row r="1629" spans="1:8" x14ac:dyDescent="0.35">
      <c r="A1629" s="21"/>
      <c r="B1629" s="21"/>
      <c r="C1629" s="17"/>
      <c r="D1629" s="21"/>
      <c r="E1629" s="21"/>
      <c r="F1629" s="17"/>
      <c r="G1629" s="17"/>
      <c r="H1629" s="93"/>
    </row>
    <row r="1630" spans="1:8" x14ac:dyDescent="0.35">
      <c r="A1630" s="21"/>
      <c r="B1630" s="21"/>
      <c r="C1630" s="17"/>
      <c r="D1630" s="21"/>
      <c r="E1630" s="21"/>
      <c r="F1630" s="17"/>
      <c r="G1630" s="17"/>
      <c r="H1630" s="93"/>
    </row>
    <row r="1631" spans="1:8" x14ac:dyDescent="0.35">
      <c r="A1631" s="21"/>
      <c r="B1631" s="21"/>
      <c r="C1631" s="17"/>
      <c r="D1631" s="21"/>
      <c r="E1631" s="21"/>
      <c r="F1631" s="17"/>
      <c r="G1631" s="17"/>
      <c r="H1631" s="93"/>
    </row>
    <row r="1632" spans="1:8" x14ac:dyDescent="0.35">
      <c r="A1632" s="21"/>
      <c r="B1632" s="21"/>
      <c r="C1632" s="17"/>
      <c r="D1632" s="21"/>
      <c r="E1632" s="21"/>
      <c r="F1632" s="17"/>
      <c r="G1632" s="17"/>
      <c r="H1632" s="93"/>
    </row>
    <row r="1633" spans="1:8" x14ac:dyDescent="0.35">
      <c r="A1633" s="21"/>
      <c r="B1633" s="21"/>
      <c r="C1633" s="17"/>
      <c r="D1633" s="21"/>
      <c r="E1633" s="21"/>
      <c r="F1633" s="17"/>
      <c r="G1633" s="17"/>
      <c r="H1633" s="93"/>
    </row>
    <row r="1634" spans="1:8" x14ac:dyDescent="0.35">
      <c r="A1634" s="21"/>
      <c r="B1634" s="21"/>
      <c r="C1634" s="17"/>
      <c r="D1634" s="21"/>
      <c r="E1634" s="21"/>
      <c r="F1634" s="17"/>
      <c r="G1634" s="17"/>
      <c r="H1634" s="93"/>
    </row>
    <row r="1635" spans="1:8" x14ac:dyDescent="0.35">
      <c r="A1635" s="21"/>
      <c r="B1635" s="21"/>
      <c r="C1635" s="17"/>
      <c r="D1635" s="21"/>
      <c r="E1635" s="21"/>
      <c r="F1635" s="17"/>
      <c r="G1635" s="17"/>
      <c r="H1635" s="93"/>
    </row>
    <row r="1636" spans="1:8" x14ac:dyDescent="0.35">
      <c r="A1636" s="21"/>
      <c r="B1636" s="21"/>
      <c r="C1636" s="17"/>
      <c r="D1636" s="21"/>
      <c r="E1636" s="21"/>
      <c r="F1636" s="17"/>
      <c r="G1636" s="17"/>
      <c r="H1636" s="93"/>
    </row>
    <row r="1637" spans="1:8" x14ac:dyDescent="0.35">
      <c r="A1637" s="21"/>
      <c r="B1637" s="21"/>
      <c r="C1637" s="17"/>
      <c r="D1637" s="21"/>
      <c r="E1637" s="21"/>
      <c r="F1637" s="17"/>
      <c r="G1637" s="17"/>
      <c r="H1637" s="93"/>
    </row>
    <row r="1638" spans="1:8" x14ac:dyDescent="0.35">
      <c r="A1638" s="21"/>
      <c r="B1638" s="21"/>
      <c r="C1638" s="17"/>
      <c r="D1638" s="21"/>
      <c r="E1638" s="21"/>
      <c r="F1638" s="17"/>
      <c r="G1638" s="17"/>
      <c r="H1638" s="93"/>
    </row>
    <row r="1639" spans="1:8" x14ac:dyDescent="0.35">
      <c r="A1639" s="21"/>
      <c r="B1639" s="21"/>
      <c r="C1639" s="17"/>
      <c r="D1639" s="21"/>
      <c r="E1639" s="21"/>
      <c r="F1639" s="17"/>
      <c r="G1639" s="17"/>
      <c r="H1639" s="93"/>
    </row>
    <row r="1640" spans="1:8" x14ac:dyDescent="0.35">
      <c r="A1640" s="21"/>
      <c r="B1640" s="21"/>
      <c r="C1640" s="17"/>
      <c r="D1640" s="21"/>
      <c r="E1640" s="21"/>
      <c r="F1640" s="17"/>
      <c r="G1640" s="17"/>
      <c r="H1640" s="93"/>
    </row>
    <row r="1641" spans="1:8" x14ac:dyDescent="0.35">
      <c r="A1641" s="21"/>
      <c r="B1641" s="21"/>
      <c r="C1641" s="17"/>
      <c r="D1641" s="21"/>
      <c r="E1641" s="21"/>
      <c r="F1641" s="17"/>
      <c r="G1641" s="17"/>
      <c r="H1641" s="93"/>
    </row>
    <row r="1642" spans="1:8" x14ac:dyDescent="0.35">
      <c r="A1642" s="21"/>
      <c r="B1642" s="21"/>
      <c r="C1642" s="17"/>
      <c r="D1642" s="21"/>
      <c r="E1642" s="21"/>
      <c r="F1642" s="17"/>
      <c r="G1642" s="17"/>
      <c r="H1642" s="93"/>
    </row>
    <row r="1643" spans="1:8" x14ac:dyDescent="0.35">
      <c r="A1643" s="21"/>
      <c r="B1643" s="21"/>
      <c r="C1643" s="17"/>
      <c r="D1643" s="21"/>
      <c r="E1643" s="21"/>
      <c r="F1643" s="17"/>
      <c r="G1643" s="17"/>
      <c r="H1643" s="93"/>
    </row>
    <row r="1644" spans="1:8" x14ac:dyDescent="0.35">
      <c r="A1644" s="21"/>
      <c r="B1644" s="21"/>
      <c r="C1644" s="17"/>
      <c r="D1644" s="21"/>
      <c r="E1644" s="21"/>
      <c r="F1644" s="17"/>
      <c r="G1644" s="17"/>
      <c r="H1644" s="93"/>
    </row>
    <row r="1645" spans="1:8" x14ac:dyDescent="0.35">
      <c r="A1645" s="21"/>
      <c r="B1645" s="21"/>
      <c r="C1645" s="17"/>
      <c r="D1645" s="21"/>
      <c r="E1645" s="21"/>
      <c r="F1645" s="17"/>
      <c r="G1645" s="17"/>
      <c r="H1645" s="93"/>
    </row>
    <row r="1646" spans="1:8" x14ac:dyDescent="0.35">
      <c r="A1646" s="21"/>
      <c r="B1646" s="21"/>
      <c r="C1646" s="17"/>
      <c r="D1646" s="21"/>
      <c r="E1646" s="21"/>
      <c r="F1646" s="17"/>
      <c r="G1646" s="17"/>
      <c r="H1646" s="93"/>
    </row>
    <row r="1647" spans="1:8" x14ac:dyDescent="0.35">
      <c r="A1647" s="21"/>
      <c r="B1647" s="21"/>
      <c r="C1647" s="17"/>
      <c r="D1647" s="21"/>
      <c r="E1647" s="21"/>
      <c r="F1647" s="17"/>
      <c r="G1647" s="17"/>
      <c r="H1647" s="93"/>
    </row>
    <row r="1648" spans="1:8" x14ac:dyDescent="0.35">
      <c r="A1648" s="21"/>
      <c r="B1648" s="21"/>
      <c r="C1648" s="17"/>
      <c r="D1648" s="21"/>
      <c r="E1648" s="21"/>
      <c r="F1648" s="17"/>
      <c r="G1648" s="17"/>
      <c r="H1648" s="93"/>
    </row>
    <row r="1649" spans="1:8" x14ac:dyDescent="0.35">
      <c r="A1649" s="21"/>
      <c r="B1649" s="21"/>
      <c r="C1649" s="17"/>
      <c r="D1649" s="21"/>
      <c r="E1649" s="21"/>
      <c r="F1649" s="17"/>
      <c r="G1649" s="17"/>
      <c r="H1649" s="93"/>
    </row>
    <row r="1650" spans="1:8" x14ac:dyDescent="0.35">
      <c r="A1650" s="21"/>
      <c r="B1650" s="21"/>
      <c r="C1650" s="17"/>
      <c r="D1650" s="21"/>
      <c r="E1650" s="21"/>
      <c r="F1650" s="17"/>
      <c r="G1650" s="17"/>
      <c r="H1650" s="93"/>
    </row>
    <row r="1651" spans="1:8" x14ac:dyDescent="0.35">
      <c r="A1651" s="21"/>
      <c r="B1651" s="21"/>
      <c r="C1651" s="17"/>
      <c r="D1651" s="21"/>
      <c r="E1651" s="21"/>
      <c r="F1651" s="17"/>
      <c r="G1651" s="17"/>
      <c r="H1651" s="93"/>
    </row>
    <row r="1652" spans="1:8" x14ac:dyDescent="0.35">
      <c r="A1652" s="21"/>
      <c r="B1652" s="21"/>
      <c r="C1652" s="17"/>
      <c r="D1652" s="21"/>
      <c r="E1652" s="21"/>
      <c r="F1652" s="17"/>
      <c r="G1652" s="17"/>
      <c r="H1652" s="93"/>
    </row>
    <row r="1653" spans="1:8" x14ac:dyDescent="0.35">
      <c r="A1653" s="21"/>
      <c r="B1653" s="21"/>
      <c r="C1653" s="17"/>
      <c r="D1653" s="21"/>
      <c r="E1653" s="21"/>
      <c r="F1653" s="17"/>
      <c r="G1653" s="17"/>
      <c r="H1653" s="93"/>
    </row>
    <row r="1654" spans="1:8" x14ac:dyDescent="0.35">
      <c r="A1654" s="21"/>
      <c r="B1654" s="21"/>
      <c r="C1654" s="17"/>
      <c r="D1654" s="21"/>
      <c r="E1654" s="21"/>
      <c r="F1654" s="17"/>
      <c r="G1654" s="17"/>
      <c r="H1654" s="93"/>
    </row>
    <row r="1655" spans="1:8" x14ac:dyDescent="0.35">
      <c r="A1655" s="21"/>
      <c r="B1655" s="21"/>
      <c r="C1655" s="17"/>
      <c r="D1655" s="21"/>
      <c r="E1655" s="21"/>
      <c r="F1655" s="17"/>
      <c r="G1655" s="17"/>
      <c r="H1655" s="93"/>
    </row>
    <row r="1656" spans="1:8" x14ac:dyDescent="0.35">
      <c r="A1656" s="21"/>
      <c r="B1656" s="21"/>
      <c r="C1656" s="17"/>
      <c r="D1656" s="21"/>
      <c r="E1656" s="21"/>
      <c r="F1656" s="17"/>
      <c r="G1656" s="17"/>
      <c r="H1656" s="93"/>
    </row>
    <row r="1657" spans="1:8" x14ac:dyDescent="0.35">
      <c r="A1657" s="21"/>
      <c r="B1657" s="21"/>
      <c r="C1657" s="17"/>
      <c r="D1657" s="21"/>
      <c r="E1657" s="21"/>
      <c r="F1657" s="17"/>
      <c r="G1657" s="17"/>
      <c r="H1657" s="93"/>
    </row>
    <row r="1658" spans="1:8" x14ac:dyDescent="0.35">
      <c r="A1658" s="21"/>
      <c r="B1658" s="21"/>
      <c r="C1658" s="17"/>
      <c r="D1658" s="21"/>
      <c r="E1658" s="21"/>
      <c r="F1658" s="17"/>
      <c r="G1658" s="17"/>
      <c r="H1658" s="93"/>
    </row>
    <row r="1659" spans="1:8" x14ac:dyDescent="0.35">
      <c r="A1659" s="21"/>
      <c r="B1659" s="21"/>
      <c r="C1659" s="17"/>
      <c r="D1659" s="21"/>
      <c r="E1659" s="21"/>
      <c r="F1659" s="17"/>
      <c r="G1659" s="17"/>
      <c r="H1659" s="93"/>
    </row>
    <row r="1660" spans="1:8" x14ac:dyDescent="0.35">
      <c r="A1660" s="21"/>
      <c r="B1660" s="21"/>
      <c r="C1660" s="17"/>
      <c r="D1660" s="21"/>
      <c r="E1660" s="21"/>
      <c r="F1660" s="17"/>
      <c r="G1660" s="17"/>
      <c r="H1660" s="93"/>
    </row>
    <row r="1661" spans="1:8" x14ac:dyDescent="0.35">
      <c r="A1661" s="21"/>
      <c r="B1661" s="21"/>
      <c r="C1661" s="17"/>
      <c r="D1661" s="21"/>
      <c r="E1661" s="21"/>
      <c r="F1661" s="17"/>
      <c r="G1661" s="17"/>
      <c r="H1661" s="93"/>
    </row>
    <row r="1662" spans="1:8" x14ac:dyDescent="0.35">
      <c r="A1662" s="21"/>
      <c r="B1662" s="21"/>
      <c r="C1662" s="17"/>
      <c r="D1662" s="21"/>
      <c r="E1662" s="21"/>
      <c r="F1662" s="17"/>
      <c r="G1662" s="17"/>
      <c r="H1662" s="93"/>
    </row>
    <row r="1663" spans="1:8" x14ac:dyDescent="0.35">
      <c r="A1663" s="21"/>
      <c r="B1663" s="21"/>
      <c r="C1663" s="17"/>
      <c r="D1663" s="21"/>
      <c r="E1663" s="21"/>
      <c r="F1663" s="17"/>
      <c r="G1663" s="17"/>
      <c r="H1663" s="93"/>
    </row>
    <row r="1664" spans="1:8" x14ac:dyDescent="0.35">
      <c r="A1664" s="21"/>
      <c r="B1664" s="21"/>
      <c r="C1664" s="17"/>
      <c r="D1664" s="21"/>
      <c r="E1664" s="21"/>
      <c r="F1664" s="17"/>
      <c r="G1664" s="17"/>
      <c r="H1664" s="93"/>
    </row>
    <row r="1665" spans="1:8" x14ac:dyDescent="0.35">
      <c r="A1665" s="21"/>
      <c r="B1665" s="21"/>
      <c r="C1665" s="17"/>
      <c r="D1665" s="21"/>
      <c r="E1665" s="21"/>
      <c r="F1665" s="17"/>
      <c r="G1665" s="17"/>
      <c r="H1665" s="93"/>
    </row>
    <row r="1666" spans="1:8" x14ac:dyDescent="0.35">
      <c r="A1666" s="21"/>
      <c r="B1666" s="21"/>
      <c r="C1666" s="17"/>
      <c r="D1666" s="21"/>
      <c r="E1666" s="21"/>
      <c r="F1666" s="17"/>
      <c r="G1666" s="17"/>
      <c r="H1666" s="93"/>
    </row>
    <row r="1667" spans="1:8" x14ac:dyDescent="0.35">
      <c r="A1667" s="21"/>
      <c r="B1667" s="21"/>
      <c r="C1667" s="17"/>
      <c r="D1667" s="21"/>
      <c r="E1667" s="21"/>
      <c r="F1667" s="17"/>
      <c r="G1667" s="17"/>
      <c r="H1667" s="93"/>
    </row>
    <row r="1668" spans="1:8" x14ac:dyDescent="0.35">
      <c r="A1668" s="21"/>
      <c r="B1668" s="21"/>
      <c r="C1668" s="17"/>
      <c r="D1668" s="21"/>
      <c r="E1668" s="21"/>
      <c r="F1668" s="17"/>
      <c r="G1668" s="17"/>
      <c r="H1668" s="93"/>
    </row>
    <row r="1669" spans="1:8" x14ac:dyDescent="0.35">
      <c r="A1669" s="21"/>
      <c r="B1669" s="21"/>
      <c r="C1669" s="17"/>
      <c r="D1669" s="21"/>
      <c r="E1669" s="21"/>
      <c r="F1669" s="17"/>
      <c r="G1669" s="17"/>
      <c r="H1669" s="93"/>
    </row>
    <row r="1670" spans="1:8" x14ac:dyDescent="0.35">
      <c r="A1670" s="21"/>
      <c r="B1670" s="21"/>
      <c r="C1670" s="17"/>
      <c r="D1670" s="21"/>
      <c r="E1670" s="21"/>
      <c r="F1670" s="17"/>
      <c r="G1670" s="17"/>
      <c r="H1670" s="93"/>
    </row>
    <row r="1671" spans="1:8" x14ac:dyDescent="0.35">
      <c r="A1671" s="21"/>
      <c r="B1671" s="21"/>
      <c r="C1671" s="17"/>
      <c r="D1671" s="21"/>
      <c r="E1671" s="21"/>
      <c r="F1671" s="17"/>
      <c r="G1671" s="17"/>
      <c r="H1671" s="93"/>
    </row>
    <row r="1672" spans="1:8" x14ac:dyDescent="0.35">
      <c r="A1672" s="21"/>
      <c r="B1672" s="21"/>
      <c r="C1672" s="17"/>
      <c r="D1672" s="21"/>
      <c r="E1672" s="21"/>
      <c r="F1672" s="17"/>
      <c r="G1672" s="17"/>
      <c r="H1672" s="93"/>
    </row>
    <row r="1673" spans="1:8" x14ac:dyDescent="0.35">
      <c r="A1673" s="21"/>
      <c r="B1673" s="21"/>
      <c r="C1673" s="17"/>
      <c r="D1673" s="21"/>
      <c r="E1673" s="21"/>
      <c r="F1673" s="17"/>
      <c r="G1673" s="17"/>
      <c r="H1673" s="93"/>
    </row>
    <row r="1674" spans="1:8" x14ac:dyDescent="0.35">
      <c r="A1674" s="21"/>
      <c r="B1674" s="21"/>
      <c r="C1674" s="17"/>
      <c r="D1674" s="21"/>
      <c r="E1674" s="21"/>
      <c r="F1674" s="17"/>
      <c r="G1674" s="17"/>
      <c r="H1674" s="93"/>
    </row>
    <row r="1675" spans="1:8" x14ac:dyDescent="0.35">
      <c r="A1675" s="21"/>
      <c r="B1675" s="21"/>
      <c r="C1675" s="17"/>
      <c r="D1675" s="21"/>
      <c r="E1675" s="21"/>
      <c r="F1675" s="17"/>
      <c r="G1675" s="17"/>
      <c r="H1675" s="93"/>
    </row>
    <row r="1676" spans="1:8" x14ac:dyDescent="0.35">
      <c r="A1676" s="21"/>
      <c r="B1676" s="21"/>
      <c r="C1676" s="17"/>
      <c r="D1676" s="21"/>
      <c r="E1676" s="21"/>
      <c r="F1676" s="17"/>
      <c r="G1676" s="17"/>
      <c r="H1676" s="93"/>
    </row>
    <row r="1677" spans="1:8" x14ac:dyDescent="0.35">
      <c r="A1677" s="21"/>
      <c r="B1677" s="21"/>
      <c r="C1677" s="17"/>
      <c r="D1677" s="21"/>
      <c r="E1677" s="21"/>
      <c r="F1677" s="17"/>
      <c r="G1677" s="17"/>
      <c r="H1677" s="93"/>
    </row>
    <row r="1678" spans="1:8" x14ac:dyDescent="0.35">
      <c r="A1678" s="21"/>
      <c r="B1678" s="21"/>
      <c r="C1678" s="17"/>
      <c r="D1678" s="21"/>
      <c r="E1678" s="21"/>
      <c r="F1678" s="17"/>
      <c r="G1678" s="17"/>
      <c r="H1678" s="93"/>
    </row>
    <row r="1679" spans="1:8" x14ac:dyDescent="0.35">
      <c r="A1679" s="21"/>
      <c r="B1679" s="21"/>
      <c r="C1679" s="17"/>
      <c r="D1679" s="21"/>
      <c r="E1679" s="21"/>
      <c r="F1679" s="17"/>
      <c r="G1679" s="17"/>
      <c r="H1679" s="93"/>
    </row>
    <row r="1680" spans="1:8" x14ac:dyDescent="0.35">
      <c r="A1680" s="21"/>
      <c r="B1680" s="21"/>
      <c r="C1680" s="17"/>
      <c r="D1680" s="21"/>
      <c r="E1680" s="21"/>
      <c r="F1680" s="17"/>
      <c r="G1680" s="17"/>
      <c r="H1680" s="93"/>
    </row>
    <row r="1681" spans="1:8" x14ac:dyDescent="0.35">
      <c r="A1681" s="21"/>
      <c r="B1681" s="21"/>
      <c r="C1681" s="17"/>
      <c r="D1681" s="21"/>
      <c r="E1681" s="21"/>
      <c r="F1681" s="17"/>
      <c r="G1681" s="17"/>
      <c r="H1681" s="93"/>
    </row>
    <row r="1682" spans="1:8" x14ac:dyDescent="0.35">
      <c r="A1682" s="21"/>
      <c r="B1682" s="21"/>
      <c r="C1682" s="17"/>
      <c r="D1682" s="21"/>
      <c r="E1682" s="21"/>
      <c r="F1682" s="17"/>
      <c r="G1682" s="17"/>
      <c r="H1682" s="93"/>
    </row>
    <row r="1683" spans="1:8" x14ac:dyDescent="0.35">
      <c r="A1683" s="21"/>
      <c r="B1683" s="21"/>
      <c r="C1683" s="17"/>
      <c r="D1683" s="21"/>
      <c r="E1683" s="21"/>
      <c r="F1683" s="17"/>
      <c r="G1683" s="17"/>
      <c r="H1683" s="93"/>
    </row>
    <row r="1684" spans="1:8" x14ac:dyDescent="0.35">
      <c r="A1684" s="21"/>
      <c r="B1684" s="21"/>
      <c r="C1684" s="17"/>
      <c r="D1684" s="21"/>
      <c r="E1684" s="21"/>
      <c r="F1684" s="17"/>
      <c r="G1684" s="17"/>
      <c r="H1684" s="93"/>
    </row>
    <row r="1685" spans="1:8" x14ac:dyDescent="0.35">
      <c r="A1685" s="21"/>
      <c r="B1685" s="21"/>
      <c r="C1685" s="17"/>
      <c r="D1685" s="21"/>
      <c r="E1685" s="21"/>
      <c r="F1685" s="17"/>
      <c r="G1685" s="17"/>
      <c r="H1685" s="93"/>
    </row>
    <row r="1686" spans="1:8" x14ac:dyDescent="0.35">
      <c r="A1686" s="21"/>
      <c r="B1686" s="21"/>
      <c r="C1686" s="17"/>
      <c r="D1686" s="21"/>
      <c r="E1686" s="21"/>
      <c r="F1686" s="17"/>
      <c r="G1686" s="17"/>
      <c r="H1686" s="93"/>
    </row>
    <row r="1687" spans="1:8" x14ac:dyDescent="0.35">
      <c r="A1687" s="21"/>
      <c r="B1687" s="21"/>
      <c r="C1687" s="17"/>
      <c r="D1687" s="21"/>
      <c r="E1687" s="21"/>
      <c r="F1687" s="17"/>
      <c r="G1687" s="17"/>
      <c r="H1687" s="93"/>
    </row>
    <row r="1688" spans="1:8" x14ac:dyDescent="0.35">
      <c r="A1688" s="21"/>
      <c r="B1688" s="21"/>
      <c r="C1688" s="17"/>
      <c r="D1688" s="21"/>
      <c r="E1688" s="21"/>
      <c r="F1688" s="17"/>
      <c r="G1688" s="17"/>
      <c r="H1688" s="93"/>
    </row>
    <row r="1689" spans="1:8" x14ac:dyDescent="0.35">
      <c r="A1689" s="21"/>
      <c r="B1689" s="21"/>
      <c r="C1689" s="17"/>
      <c r="D1689" s="21"/>
      <c r="E1689" s="21"/>
      <c r="F1689" s="17"/>
      <c r="G1689" s="17"/>
      <c r="H1689" s="93"/>
    </row>
    <row r="1690" spans="1:8" x14ac:dyDescent="0.35">
      <c r="A1690" s="21"/>
      <c r="B1690" s="21"/>
      <c r="C1690" s="17"/>
      <c r="D1690" s="21"/>
      <c r="E1690" s="21"/>
      <c r="F1690" s="17"/>
      <c r="G1690" s="17"/>
      <c r="H1690" s="93"/>
    </row>
    <row r="1691" spans="1:8" x14ac:dyDescent="0.35">
      <c r="A1691" s="21"/>
      <c r="B1691" s="21"/>
      <c r="C1691" s="17"/>
      <c r="D1691" s="21"/>
      <c r="E1691" s="21"/>
      <c r="F1691" s="17"/>
      <c r="G1691" s="17"/>
      <c r="H1691" s="93"/>
    </row>
    <row r="1692" spans="1:8" x14ac:dyDescent="0.35">
      <c r="A1692" s="21"/>
      <c r="B1692" s="21"/>
      <c r="C1692" s="17"/>
      <c r="D1692" s="21"/>
      <c r="E1692" s="21"/>
      <c r="F1692" s="17"/>
      <c r="G1692" s="17"/>
      <c r="H1692" s="93"/>
    </row>
    <row r="1693" spans="1:8" x14ac:dyDescent="0.35">
      <c r="A1693" s="21"/>
      <c r="B1693" s="21"/>
      <c r="C1693" s="17"/>
      <c r="D1693" s="21"/>
      <c r="E1693" s="21"/>
      <c r="F1693" s="17"/>
      <c r="G1693" s="17"/>
      <c r="H1693" s="93"/>
    </row>
    <row r="1694" spans="1:8" x14ac:dyDescent="0.35">
      <c r="A1694" s="21"/>
      <c r="B1694" s="21"/>
      <c r="C1694" s="17"/>
      <c r="D1694" s="21"/>
      <c r="E1694" s="21"/>
      <c r="F1694" s="17"/>
      <c r="G1694" s="17"/>
      <c r="H1694" s="93"/>
    </row>
    <row r="1695" spans="1:8" x14ac:dyDescent="0.35">
      <c r="A1695" s="21"/>
      <c r="B1695" s="21"/>
      <c r="C1695" s="17"/>
      <c r="D1695" s="21"/>
      <c r="E1695" s="21"/>
      <c r="F1695" s="17"/>
      <c r="G1695" s="17"/>
      <c r="H1695" s="93"/>
    </row>
    <row r="1696" spans="1:8" x14ac:dyDescent="0.35">
      <c r="A1696" s="21"/>
      <c r="B1696" s="21"/>
      <c r="C1696" s="17"/>
      <c r="D1696" s="21"/>
      <c r="E1696" s="21"/>
      <c r="F1696" s="17"/>
      <c r="G1696" s="17"/>
      <c r="H1696" s="93"/>
    </row>
    <row r="1697" spans="1:8" x14ac:dyDescent="0.35">
      <c r="A1697" s="21"/>
      <c r="B1697" s="21"/>
      <c r="C1697" s="17"/>
      <c r="D1697" s="21"/>
      <c r="E1697" s="21"/>
      <c r="F1697" s="17"/>
      <c r="G1697" s="17"/>
      <c r="H1697" s="93"/>
    </row>
    <row r="1698" spans="1:8" x14ac:dyDescent="0.35">
      <c r="A1698" s="21"/>
      <c r="B1698" s="21"/>
      <c r="C1698" s="17"/>
      <c r="D1698" s="21"/>
      <c r="E1698" s="21"/>
      <c r="F1698" s="17"/>
      <c r="G1698" s="17"/>
      <c r="H1698" s="93"/>
    </row>
    <row r="1699" spans="1:8" x14ac:dyDescent="0.35">
      <c r="A1699" s="21"/>
      <c r="B1699" s="21"/>
      <c r="C1699" s="17"/>
      <c r="D1699" s="21"/>
      <c r="E1699" s="21"/>
      <c r="F1699" s="17"/>
      <c r="G1699" s="17"/>
      <c r="H1699" s="93"/>
    </row>
    <row r="1700" spans="1:8" x14ac:dyDescent="0.35">
      <c r="A1700" s="21"/>
      <c r="B1700" s="21"/>
      <c r="C1700" s="17"/>
      <c r="D1700" s="21"/>
      <c r="E1700" s="21"/>
      <c r="F1700" s="17"/>
      <c r="G1700" s="17"/>
      <c r="H1700" s="93"/>
    </row>
    <row r="1701" spans="1:8" x14ac:dyDescent="0.35">
      <c r="A1701" s="21"/>
      <c r="B1701" s="21"/>
      <c r="C1701" s="17"/>
      <c r="D1701" s="21"/>
      <c r="E1701" s="21"/>
      <c r="F1701" s="17"/>
      <c r="G1701" s="17"/>
      <c r="H1701" s="93"/>
    </row>
    <row r="1702" spans="1:8" x14ac:dyDescent="0.35">
      <c r="A1702" s="21"/>
      <c r="B1702" s="21"/>
      <c r="C1702" s="17"/>
      <c r="D1702" s="21"/>
      <c r="E1702" s="21"/>
      <c r="F1702" s="17"/>
      <c r="G1702" s="17"/>
      <c r="H1702" s="93"/>
    </row>
    <row r="1703" spans="1:8" x14ac:dyDescent="0.35">
      <c r="A1703" s="21"/>
      <c r="B1703" s="21"/>
      <c r="C1703" s="17"/>
      <c r="D1703" s="21"/>
      <c r="E1703" s="21"/>
      <c r="F1703" s="17"/>
      <c r="G1703" s="17"/>
      <c r="H1703" s="93"/>
    </row>
    <row r="1704" spans="1:8" x14ac:dyDescent="0.35">
      <c r="A1704" s="21"/>
      <c r="B1704" s="21"/>
      <c r="C1704" s="17"/>
      <c r="D1704" s="21"/>
      <c r="E1704" s="21"/>
      <c r="F1704" s="17"/>
      <c r="G1704" s="17"/>
      <c r="H1704" s="93"/>
    </row>
    <row r="1705" spans="1:8" x14ac:dyDescent="0.35">
      <c r="A1705" s="21"/>
      <c r="B1705" s="21"/>
      <c r="C1705" s="17"/>
      <c r="D1705" s="21"/>
      <c r="E1705" s="21"/>
      <c r="F1705" s="17"/>
      <c r="G1705" s="17"/>
      <c r="H1705" s="93"/>
    </row>
    <row r="1706" spans="1:8" x14ac:dyDescent="0.35">
      <c r="A1706" s="21"/>
      <c r="B1706" s="21"/>
      <c r="C1706" s="17"/>
      <c r="D1706" s="21"/>
      <c r="E1706" s="21"/>
      <c r="F1706" s="17"/>
      <c r="G1706" s="17"/>
      <c r="H1706" s="93"/>
    </row>
    <row r="1707" spans="1:8" x14ac:dyDescent="0.35">
      <c r="A1707" s="21"/>
      <c r="B1707" s="21"/>
      <c r="C1707" s="17"/>
      <c r="D1707" s="21"/>
      <c r="E1707" s="21"/>
      <c r="F1707" s="17"/>
      <c r="G1707" s="17"/>
      <c r="H1707" s="93"/>
    </row>
    <row r="1708" spans="1:8" x14ac:dyDescent="0.35">
      <c r="A1708" s="21"/>
      <c r="B1708" s="21"/>
      <c r="C1708" s="17"/>
      <c r="D1708" s="21"/>
      <c r="E1708" s="21"/>
      <c r="F1708" s="17"/>
      <c r="G1708" s="17"/>
      <c r="H1708" s="93"/>
    </row>
    <row r="1709" spans="1:8" x14ac:dyDescent="0.35">
      <c r="A1709" s="21"/>
      <c r="B1709" s="21"/>
      <c r="C1709" s="17"/>
      <c r="D1709" s="21"/>
      <c r="E1709" s="21"/>
      <c r="F1709" s="17"/>
      <c r="G1709" s="17"/>
      <c r="H1709" s="93"/>
    </row>
    <row r="1710" spans="1:8" x14ac:dyDescent="0.35">
      <c r="A1710" s="21"/>
      <c r="B1710" s="21"/>
      <c r="C1710" s="17"/>
      <c r="D1710" s="21"/>
      <c r="E1710" s="21"/>
      <c r="F1710" s="17"/>
      <c r="G1710" s="17"/>
      <c r="H1710" s="93"/>
    </row>
    <row r="1711" spans="1:8" x14ac:dyDescent="0.35">
      <c r="A1711" s="21"/>
      <c r="B1711" s="21"/>
      <c r="C1711" s="17"/>
      <c r="D1711" s="21"/>
      <c r="E1711" s="21"/>
      <c r="F1711" s="17"/>
      <c r="G1711" s="17"/>
      <c r="H1711" s="93"/>
    </row>
    <row r="1712" spans="1:8" x14ac:dyDescent="0.35">
      <c r="A1712" s="21"/>
      <c r="B1712" s="21"/>
      <c r="C1712" s="17"/>
      <c r="D1712" s="21"/>
      <c r="E1712" s="21"/>
      <c r="F1712" s="17"/>
      <c r="G1712" s="17"/>
      <c r="H1712" s="93"/>
    </row>
    <row r="1713" spans="1:8" x14ac:dyDescent="0.35">
      <c r="A1713" s="21"/>
      <c r="B1713" s="21"/>
      <c r="C1713" s="17"/>
      <c r="D1713" s="21"/>
      <c r="E1713" s="21"/>
      <c r="F1713" s="17"/>
      <c r="G1713" s="17"/>
      <c r="H1713" s="93"/>
    </row>
    <row r="1714" spans="1:8" x14ac:dyDescent="0.35">
      <c r="A1714" s="21"/>
      <c r="B1714" s="21"/>
      <c r="C1714" s="17"/>
      <c r="D1714" s="21"/>
      <c r="E1714" s="21"/>
      <c r="F1714" s="17"/>
      <c r="G1714" s="17"/>
      <c r="H1714" s="93"/>
    </row>
    <row r="1715" spans="1:8" x14ac:dyDescent="0.35">
      <c r="A1715" s="21"/>
      <c r="B1715" s="21"/>
      <c r="C1715" s="17"/>
      <c r="D1715" s="21"/>
      <c r="E1715" s="21"/>
      <c r="F1715" s="17"/>
      <c r="G1715" s="17"/>
      <c r="H1715" s="93"/>
    </row>
    <row r="1716" spans="1:8" x14ac:dyDescent="0.35">
      <c r="A1716" s="21"/>
      <c r="B1716" s="21"/>
      <c r="C1716" s="17"/>
      <c r="D1716" s="21"/>
      <c r="E1716" s="21"/>
      <c r="F1716" s="17"/>
      <c r="G1716" s="17"/>
      <c r="H1716" s="93"/>
    </row>
    <row r="1717" spans="1:8" x14ac:dyDescent="0.35">
      <c r="A1717" s="21"/>
      <c r="B1717" s="21"/>
      <c r="C1717" s="17"/>
      <c r="D1717" s="21"/>
      <c r="E1717" s="21"/>
      <c r="F1717" s="17"/>
      <c r="G1717" s="17"/>
      <c r="H1717" s="93"/>
    </row>
    <row r="1718" spans="1:8" x14ac:dyDescent="0.35">
      <c r="A1718" s="21"/>
      <c r="B1718" s="21"/>
      <c r="C1718" s="17"/>
      <c r="D1718" s="21"/>
      <c r="E1718" s="21"/>
      <c r="F1718" s="17"/>
      <c r="G1718" s="17"/>
      <c r="H1718" s="93"/>
    </row>
    <row r="1719" spans="1:8" x14ac:dyDescent="0.35">
      <c r="A1719" s="21"/>
      <c r="B1719" s="21"/>
      <c r="C1719" s="17"/>
      <c r="D1719" s="21"/>
      <c r="E1719" s="21"/>
      <c r="F1719" s="17"/>
      <c r="G1719" s="17"/>
      <c r="H1719" s="93"/>
    </row>
    <row r="1720" spans="1:8" x14ac:dyDescent="0.35">
      <c r="A1720" s="21"/>
      <c r="B1720" s="21"/>
      <c r="C1720" s="17"/>
      <c r="D1720" s="21"/>
      <c r="E1720" s="21"/>
      <c r="F1720" s="17"/>
      <c r="G1720" s="17"/>
      <c r="H1720" s="93"/>
    </row>
    <row r="1721" spans="1:8" x14ac:dyDescent="0.35">
      <c r="A1721" s="21"/>
      <c r="B1721" s="21"/>
      <c r="C1721" s="17"/>
      <c r="D1721" s="21"/>
      <c r="E1721" s="21"/>
      <c r="F1721" s="17"/>
      <c r="G1721" s="17"/>
      <c r="H1721" s="93"/>
    </row>
    <row r="1722" spans="1:8" x14ac:dyDescent="0.35">
      <c r="A1722" s="21"/>
      <c r="B1722" s="21"/>
      <c r="C1722" s="17"/>
      <c r="D1722" s="21"/>
      <c r="E1722" s="21"/>
      <c r="F1722" s="17"/>
      <c r="G1722" s="17"/>
      <c r="H1722" s="93"/>
    </row>
    <row r="1723" spans="1:8" x14ac:dyDescent="0.35">
      <c r="A1723" s="21"/>
      <c r="B1723" s="21"/>
      <c r="C1723" s="17"/>
      <c r="D1723" s="21"/>
      <c r="E1723" s="21"/>
      <c r="F1723" s="17"/>
      <c r="G1723" s="17"/>
      <c r="H1723" s="93"/>
    </row>
    <row r="1724" spans="1:8" x14ac:dyDescent="0.35">
      <c r="A1724" s="21"/>
      <c r="B1724" s="21"/>
      <c r="C1724" s="17"/>
      <c r="D1724" s="21"/>
      <c r="E1724" s="21"/>
      <c r="F1724" s="17"/>
      <c r="G1724" s="17"/>
      <c r="H1724" s="93"/>
    </row>
    <row r="1725" spans="1:8" x14ac:dyDescent="0.35">
      <c r="A1725" s="21"/>
      <c r="B1725" s="21"/>
      <c r="C1725" s="17"/>
      <c r="D1725" s="21"/>
      <c r="E1725" s="21"/>
      <c r="F1725" s="17"/>
      <c r="G1725" s="17"/>
      <c r="H1725" s="93"/>
    </row>
    <row r="1726" spans="1:8" x14ac:dyDescent="0.35">
      <c r="A1726" s="21"/>
      <c r="B1726" s="21"/>
      <c r="C1726" s="17"/>
      <c r="D1726" s="21"/>
      <c r="E1726" s="21"/>
      <c r="F1726" s="17"/>
      <c r="G1726" s="17"/>
      <c r="H1726" s="93"/>
    </row>
    <row r="1727" spans="1:8" x14ac:dyDescent="0.35">
      <c r="A1727" s="21"/>
      <c r="B1727" s="21"/>
      <c r="C1727" s="17"/>
      <c r="D1727" s="21"/>
      <c r="E1727" s="21"/>
      <c r="F1727" s="17"/>
      <c r="G1727" s="17"/>
      <c r="H1727" s="93"/>
    </row>
    <row r="1728" spans="1:8" x14ac:dyDescent="0.35">
      <c r="A1728" s="21"/>
      <c r="B1728" s="21"/>
      <c r="C1728" s="17"/>
      <c r="D1728" s="21"/>
      <c r="E1728" s="21"/>
      <c r="F1728" s="17"/>
      <c r="G1728" s="17"/>
      <c r="H1728" s="93"/>
    </row>
    <row r="1729" spans="1:8" x14ac:dyDescent="0.35">
      <c r="A1729" s="21"/>
      <c r="B1729" s="21"/>
      <c r="C1729" s="17"/>
      <c r="D1729" s="21"/>
      <c r="E1729" s="21"/>
      <c r="F1729" s="17"/>
      <c r="G1729" s="17"/>
      <c r="H1729" s="93"/>
    </row>
    <row r="1730" spans="1:8" x14ac:dyDescent="0.35">
      <c r="A1730" s="21"/>
      <c r="B1730" s="21"/>
      <c r="C1730" s="17"/>
      <c r="D1730" s="21"/>
      <c r="E1730" s="21"/>
      <c r="F1730" s="17"/>
      <c r="G1730" s="17"/>
      <c r="H1730" s="93"/>
    </row>
    <row r="1731" spans="1:8" x14ac:dyDescent="0.35">
      <c r="A1731" s="21"/>
      <c r="B1731" s="21"/>
      <c r="C1731" s="17"/>
      <c r="D1731" s="21"/>
      <c r="E1731" s="21"/>
      <c r="F1731" s="17"/>
      <c r="G1731" s="17"/>
      <c r="H1731" s="93"/>
    </row>
    <row r="1732" spans="1:8" x14ac:dyDescent="0.35">
      <c r="A1732" s="21"/>
      <c r="B1732" s="21"/>
      <c r="C1732" s="17"/>
      <c r="D1732" s="21"/>
      <c r="E1732" s="21"/>
      <c r="F1732" s="17"/>
      <c r="G1732" s="17"/>
      <c r="H1732" s="93"/>
    </row>
    <row r="1733" spans="1:8" x14ac:dyDescent="0.35">
      <c r="A1733" s="21"/>
      <c r="B1733" s="21"/>
      <c r="C1733" s="17"/>
      <c r="D1733" s="21"/>
      <c r="E1733" s="21"/>
      <c r="F1733" s="17"/>
      <c r="G1733" s="17"/>
      <c r="H1733" s="93"/>
    </row>
    <row r="1734" spans="1:8" x14ac:dyDescent="0.35">
      <c r="A1734" s="21"/>
      <c r="B1734" s="21"/>
      <c r="C1734" s="17"/>
      <c r="D1734" s="21"/>
      <c r="E1734" s="21"/>
      <c r="F1734" s="17"/>
      <c r="G1734" s="17"/>
      <c r="H1734" s="93"/>
    </row>
    <row r="1735" spans="1:8" x14ac:dyDescent="0.35">
      <c r="A1735" s="21"/>
      <c r="B1735" s="21"/>
      <c r="C1735" s="17"/>
      <c r="D1735" s="21"/>
      <c r="E1735" s="21"/>
      <c r="F1735" s="17"/>
      <c r="G1735" s="17"/>
      <c r="H1735" s="93"/>
    </row>
    <row r="1736" spans="1:8" x14ac:dyDescent="0.35">
      <c r="A1736" s="21"/>
      <c r="B1736" s="21"/>
      <c r="C1736" s="17"/>
      <c r="D1736" s="21"/>
      <c r="E1736" s="21"/>
      <c r="F1736" s="17"/>
      <c r="G1736" s="17"/>
      <c r="H1736" s="93"/>
    </row>
    <row r="1737" spans="1:8" x14ac:dyDescent="0.35">
      <c r="A1737" s="21"/>
      <c r="B1737" s="21"/>
      <c r="C1737" s="17"/>
      <c r="D1737" s="21"/>
      <c r="E1737" s="21"/>
      <c r="F1737" s="17"/>
      <c r="G1737" s="17"/>
      <c r="H1737" s="93"/>
    </row>
    <row r="1738" spans="1:8" x14ac:dyDescent="0.35">
      <c r="A1738" s="21"/>
      <c r="B1738" s="21"/>
      <c r="C1738" s="17"/>
      <c r="D1738" s="21"/>
      <c r="E1738" s="21"/>
      <c r="F1738" s="17"/>
      <c r="G1738" s="17"/>
      <c r="H1738" s="93"/>
    </row>
    <row r="1739" spans="1:8" x14ac:dyDescent="0.35">
      <c r="A1739" s="21"/>
      <c r="B1739" s="21"/>
      <c r="C1739" s="17"/>
      <c r="D1739" s="21"/>
      <c r="E1739" s="21"/>
      <c r="F1739" s="17"/>
      <c r="G1739" s="17"/>
      <c r="H1739" s="93"/>
    </row>
    <row r="1740" spans="1:8" x14ac:dyDescent="0.35">
      <c r="A1740" s="21"/>
      <c r="B1740" s="21"/>
      <c r="C1740" s="17"/>
      <c r="D1740" s="21"/>
      <c r="E1740" s="21"/>
      <c r="F1740" s="17"/>
      <c r="G1740" s="17"/>
      <c r="H1740" s="93"/>
    </row>
    <row r="1741" spans="1:8" x14ac:dyDescent="0.35">
      <c r="A1741" s="21"/>
      <c r="B1741" s="21"/>
      <c r="C1741" s="17"/>
      <c r="D1741" s="21"/>
      <c r="E1741" s="21"/>
      <c r="F1741" s="17"/>
      <c r="G1741" s="17"/>
      <c r="H1741" s="93"/>
    </row>
    <row r="1742" spans="1:8" x14ac:dyDescent="0.35">
      <c r="A1742" s="21"/>
      <c r="B1742" s="21"/>
      <c r="C1742" s="17"/>
      <c r="D1742" s="21"/>
      <c r="E1742" s="21"/>
      <c r="F1742" s="17"/>
      <c r="G1742" s="17"/>
      <c r="H1742" s="93"/>
    </row>
    <row r="1743" spans="1:8" x14ac:dyDescent="0.35">
      <c r="A1743" s="21"/>
      <c r="B1743" s="21"/>
      <c r="C1743" s="17"/>
      <c r="D1743" s="21"/>
      <c r="E1743" s="21"/>
      <c r="F1743" s="17"/>
      <c r="G1743" s="17"/>
      <c r="H1743" s="93"/>
    </row>
    <row r="1744" spans="1:8" x14ac:dyDescent="0.35">
      <c r="A1744" s="21"/>
      <c r="B1744" s="21"/>
      <c r="C1744" s="17"/>
      <c r="D1744" s="21"/>
      <c r="E1744" s="21"/>
      <c r="F1744" s="17"/>
      <c r="G1744" s="17"/>
      <c r="H1744" s="93"/>
    </row>
    <row r="1745" spans="1:8" x14ac:dyDescent="0.35">
      <c r="A1745" s="21"/>
      <c r="B1745" s="21"/>
      <c r="C1745" s="17"/>
      <c r="D1745" s="21"/>
      <c r="E1745" s="21"/>
      <c r="F1745" s="17"/>
      <c r="G1745" s="17"/>
      <c r="H1745" s="93"/>
    </row>
    <row r="1746" spans="1:8" x14ac:dyDescent="0.35">
      <c r="A1746" s="21"/>
      <c r="B1746" s="21"/>
      <c r="C1746" s="17"/>
      <c r="D1746" s="21"/>
      <c r="E1746" s="21"/>
      <c r="F1746" s="17"/>
      <c r="G1746" s="17"/>
      <c r="H1746" s="93"/>
    </row>
    <row r="1747" spans="1:8" x14ac:dyDescent="0.35">
      <c r="A1747" s="21"/>
      <c r="B1747" s="21"/>
      <c r="C1747" s="17"/>
      <c r="D1747" s="21"/>
      <c r="E1747" s="21"/>
      <c r="F1747" s="17"/>
      <c r="G1747" s="17"/>
      <c r="H1747" s="93"/>
    </row>
    <row r="1748" spans="1:8" x14ac:dyDescent="0.35">
      <c r="A1748" s="21"/>
      <c r="B1748" s="21"/>
      <c r="C1748" s="17"/>
      <c r="D1748" s="21"/>
      <c r="E1748" s="21"/>
      <c r="F1748" s="17"/>
      <c r="G1748" s="17"/>
      <c r="H1748" s="93"/>
    </row>
    <row r="1749" spans="1:8" x14ac:dyDescent="0.35">
      <c r="A1749" s="21"/>
      <c r="B1749" s="21"/>
      <c r="C1749" s="17"/>
      <c r="D1749" s="21"/>
      <c r="E1749" s="21"/>
      <c r="F1749" s="17"/>
      <c r="G1749" s="17"/>
      <c r="H1749" s="93"/>
    </row>
    <row r="1750" spans="1:8" x14ac:dyDescent="0.35">
      <c r="A1750" s="21"/>
      <c r="B1750" s="21"/>
      <c r="C1750" s="17"/>
      <c r="D1750" s="21"/>
      <c r="E1750" s="21"/>
      <c r="F1750" s="17"/>
      <c r="G1750" s="17"/>
      <c r="H1750" s="93"/>
    </row>
    <row r="1751" spans="1:8" x14ac:dyDescent="0.35">
      <c r="A1751" s="21"/>
      <c r="B1751" s="21"/>
      <c r="C1751" s="17"/>
      <c r="D1751" s="21"/>
      <c r="E1751" s="21"/>
      <c r="F1751" s="17"/>
      <c r="G1751" s="17"/>
      <c r="H1751" s="93"/>
    </row>
    <row r="1752" spans="1:8" x14ac:dyDescent="0.35">
      <c r="A1752" s="21"/>
      <c r="B1752" s="21"/>
      <c r="C1752" s="17"/>
      <c r="D1752" s="21"/>
      <c r="E1752" s="21"/>
      <c r="F1752" s="17"/>
      <c r="G1752" s="17"/>
      <c r="H1752" s="93"/>
    </row>
    <row r="1753" spans="1:8" x14ac:dyDescent="0.35">
      <c r="A1753" s="21"/>
      <c r="B1753" s="21"/>
      <c r="C1753" s="17"/>
      <c r="D1753" s="21"/>
      <c r="E1753" s="21"/>
      <c r="F1753" s="17"/>
      <c r="G1753" s="17"/>
      <c r="H1753" s="93"/>
    </row>
    <row r="1754" spans="1:8" x14ac:dyDescent="0.35">
      <c r="A1754" s="21"/>
      <c r="B1754" s="21"/>
      <c r="C1754" s="17"/>
      <c r="D1754" s="21"/>
      <c r="E1754" s="21"/>
      <c r="F1754" s="17"/>
      <c r="G1754" s="17"/>
      <c r="H1754" s="93"/>
    </row>
    <row r="1755" spans="1:8" x14ac:dyDescent="0.35">
      <c r="A1755" s="21"/>
      <c r="B1755" s="21"/>
      <c r="C1755" s="17"/>
      <c r="D1755" s="21"/>
      <c r="E1755" s="21"/>
      <c r="F1755" s="17"/>
      <c r="G1755" s="17"/>
      <c r="H1755" s="93"/>
    </row>
    <row r="1756" spans="1:8" x14ac:dyDescent="0.35">
      <c r="A1756" s="21"/>
      <c r="B1756" s="21"/>
      <c r="C1756" s="17"/>
      <c r="D1756" s="21"/>
      <c r="E1756" s="21"/>
      <c r="F1756" s="17"/>
      <c r="G1756" s="17"/>
      <c r="H1756" s="93"/>
    </row>
    <row r="1757" spans="1:8" x14ac:dyDescent="0.35">
      <c r="A1757" s="21"/>
      <c r="B1757" s="21"/>
      <c r="C1757" s="17"/>
      <c r="D1757" s="21"/>
      <c r="E1757" s="21"/>
      <c r="F1757" s="17"/>
      <c r="G1757" s="17"/>
      <c r="H1757" s="93"/>
    </row>
    <row r="1758" spans="1:8" x14ac:dyDescent="0.35">
      <c r="A1758" s="21"/>
      <c r="B1758" s="21"/>
      <c r="C1758" s="17"/>
      <c r="D1758" s="21"/>
      <c r="E1758" s="21"/>
      <c r="F1758" s="17"/>
      <c r="G1758" s="17"/>
      <c r="H1758" s="93"/>
    </row>
    <row r="1759" spans="1:8" x14ac:dyDescent="0.35">
      <c r="A1759" s="21"/>
      <c r="B1759" s="21"/>
      <c r="C1759" s="17"/>
      <c r="D1759" s="21"/>
      <c r="E1759" s="21"/>
      <c r="F1759" s="17"/>
      <c r="G1759" s="17"/>
      <c r="H1759" s="93"/>
    </row>
    <row r="1760" spans="1:8" x14ac:dyDescent="0.35">
      <c r="A1760" s="21"/>
      <c r="B1760" s="21"/>
      <c r="C1760" s="17"/>
      <c r="D1760" s="21"/>
      <c r="E1760" s="21"/>
      <c r="F1760" s="17"/>
      <c r="G1760" s="17"/>
      <c r="H1760" s="93"/>
    </row>
    <row r="1761" spans="1:8" x14ac:dyDescent="0.35">
      <c r="A1761" s="21"/>
      <c r="B1761" s="21"/>
      <c r="C1761" s="17"/>
      <c r="D1761" s="21"/>
      <c r="E1761" s="21"/>
      <c r="F1761" s="17"/>
      <c r="G1761" s="17"/>
      <c r="H1761" s="93"/>
    </row>
    <row r="1762" spans="1:8" x14ac:dyDescent="0.35">
      <c r="A1762" s="21"/>
      <c r="B1762" s="21"/>
      <c r="C1762" s="17"/>
      <c r="D1762" s="21"/>
      <c r="E1762" s="21"/>
      <c r="F1762" s="17"/>
      <c r="G1762" s="17"/>
      <c r="H1762" s="93"/>
    </row>
    <row r="1763" spans="1:8" x14ac:dyDescent="0.35">
      <c r="A1763" s="21"/>
      <c r="B1763" s="21"/>
      <c r="C1763" s="17"/>
      <c r="D1763" s="21"/>
      <c r="E1763" s="21"/>
      <c r="F1763" s="17"/>
      <c r="G1763" s="17"/>
      <c r="H1763" s="93"/>
    </row>
    <row r="1764" spans="1:8" x14ac:dyDescent="0.35">
      <c r="A1764" s="21"/>
      <c r="B1764" s="21"/>
      <c r="C1764" s="17"/>
      <c r="D1764" s="21"/>
      <c r="E1764" s="21"/>
      <c r="F1764" s="17"/>
      <c r="G1764" s="17"/>
      <c r="H1764" s="93"/>
    </row>
    <row r="1765" spans="1:8" x14ac:dyDescent="0.35">
      <c r="A1765" s="21"/>
      <c r="B1765" s="21"/>
      <c r="C1765" s="17"/>
      <c r="D1765" s="21"/>
      <c r="E1765" s="21"/>
      <c r="F1765" s="17"/>
      <c r="G1765" s="17"/>
      <c r="H1765" s="93"/>
    </row>
    <row r="1766" spans="1:8" x14ac:dyDescent="0.35">
      <c r="A1766" s="21"/>
      <c r="B1766" s="21"/>
      <c r="C1766" s="17"/>
      <c r="D1766" s="21"/>
      <c r="E1766" s="21"/>
      <c r="F1766" s="17"/>
      <c r="G1766" s="17"/>
      <c r="H1766" s="93"/>
    </row>
    <row r="1767" spans="1:8" x14ac:dyDescent="0.35">
      <c r="A1767" s="21"/>
      <c r="B1767" s="21"/>
      <c r="C1767" s="17"/>
      <c r="D1767" s="21"/>
      <c r="E1767" s="21"/>
      <c r="F1767" s="17"/>
      <c r="G1767" s="17"/>
      <c r="H1767" s="93"/>
    </row>
    <row r="1768" spans="1:8" x14ac:dyDescent="0.35">
      <c r="A1768" s="21"/>
      <c r="B1768" s="21"/>
      <c r="C1768" s="17"/>
      <c r="D1768" s="21"/>
      <c r="E1768" s="21"/>
      <c r="F1768" s="17"/>
      <c r="G1768" s="17"/>
      <c r="H1768" s="93"/>
    </row>
    <row r="1769" spans="1:8" x14ac:dyDescent="0.35">
      <c r="A1769" s="21"/>
      <c r="B1769" s="21"/>
      <c r="C1769" s="17"/>
      <c r="D1769" s="21"/>
      <c r="E1769" s="21"/>
      <c r="F1769" s="17"/>
      <c r="G1769" s="17"/>
      <c r="H1769" s="93"/>
    </row>
    <row r="1770" spans="1:8" x14ac:dyDescent="0.35">
      <c r="A1770" s="21"/>
      <c r="B1770" s="21"/>
      <c r="C1770" s="17"/>
      <c r="D1770" s="21"/>
      <c r="E1770" s="21"/>
      <c r="F1770" s="17"/>
      <c r="G1770" s="17"/>
      <c r="H1770" s="93"/>
    </row>
    <row r="1771" spans="1:8" x14ac:dyDescent="0.35">
      <c r="A1771" s="21"/>
      <c r="B1771" s="21"/>
      <c r="C1771" s="17"/>
      <c r="D1771" s="21"/>
      <c r="E1771" s="21"/>
      <c r="F1771" s="17"/>
      <c r="G1771" s="17"/>
      <c r="H1771" s="93"/>
    </row>
    <row r="1772" spans="1:8" x14ac:dyDescent="0.35">
      <c r="A1772" s="21"/>
      <c r="B1772" s="21"/>
      <c r="C1772" s="17"/>
      <c r="D1772" s="21"/>
      <c r="E1772" s="21"/>
      <c r="F1772" s="17"/>
      <c r="G1772" s="17"/>
      <c r="H1772" s="93"/>
    </row>
    <row r="1773" spans="1:8" x14ac:dyDescent="0.35">
      <c r="A1773" s="21"/>
      <c r="B1773" s="21"/>
      <c r="C1773" s="17"/>
      <c r="D1773" s="21"/>
      <c r="E1773" s="21"/>
      <c r="F1773" s="17"/>
      <c r="G1773" s="17"/>
      <c r="H1773" s="93"/>
    </row>
    <row r="1774" spans="1:8" x14ac:dyDescent="0.35">
      <c r="A1774" s="21"/>
      <c r="B1774" s="21"/>
      <c r="C1774" s="17"/>
      <c r="D1774" s="21"/>
      <c r="E1774" s="21"/>
      <c r="F1774" s="17"/>
      <c r="G1774" s="17"/>
      <c r="H1774" s="93"/>
    </row>
    <row r="1775" spans="1:8" x14ac:dyDescent="0.35">
      <c r="A1775" s="21"/>
      <c r="B1775" s="21"/>
      <c r="C1775" s="17"/>
      <c r="D1775" s="21"/>
      <c r="E1775" s="21"/>
      <c r="F1775" s="17"/>
      <c r="G1775" s="17"/>
      <c r="H1775" s="93"/>
    </row>
    <row r="1776" spans="1:8" x14ac:dyDescent="0.35">
      <c r="A1776" s="21"/>
      <c r="B1776" s="21"/>
      <c r="C1776" s="17"/>
      <c r="D1776" s="21"/>
      <c r="E1776" s="21"/>
      <c r="F1776" s="17"/>
      <c r="G1776" s="17"/>
      <c r="H1776" s="93"/>
    </row>
    <row r="1777" spans="1:8" x14ac:dyDescent="0.35">
      <c r="A1777" s="21"/>
      <c r="B1777" s="21"/>
      <c r="C1777" s="17"/>
      <c r="D1777" s="21"/>
      <c r="E1777" s="21"/>
      <c r="F1777" s="17"/>
      <c r="G1777" s="17"/>
      <c r="H1777" s="93"/>
    </row>
    <row r="1778" spans="1:8" x14ac:dyDescent="0.35">
      <c r="A1778" s="21"/>
      <c r="B1778" s="21"/>
      <c r="C1778" s="17"/>
      <c r="D1778" s="21"/>
      <c r="E1778" s="21"/>
      <c r="F1778" s="17"/>
      <c r="G1778" s="17"/>
      <c r="H1778" s="93"/>
    </row>
    <row r="1779" spans="1:8" x14ac:dyDescent="0.35">
      <c r="A1779" s="21"/>
      <c r="B1779" s="21"/>
      <c r="C1779" s="17"/>
      <c r="D1779" s="21"/>
      <c r="E1779" s="21"/>
      <c r="F1779" s="17"/>
      <c r="G1779" s="17"/>
      <c r="H1779" s="93"/>
    </row>
    <row r="1780" spans="1:8" x14ac:dyDescent="0.35">
      <c r="A1780" s="21"/>
      <c r="B1780" s="21"/>
      <c r="C1780" s="17"/>
      <c r="D1780" s="21"/>
      <c r="E1780" s="21"/>
      <c r="F1780" s="17"/>
      <c r="G1780" s="17"/>
      <c r="H1780" s="93"/>
    </row>
    <row r="1781" spans="1:8" x14ac:dyDescent="0.35">
      <c r="A1781" s="21"/>
      <c r="B1781" s="21"/>
      <c r="C1781" s="17"/>
      <c r="D1781" s="21"/>
      <c r="E1781" s="21"/>
      <c r="F1781" s="17"/>
      <c r="G1781" s="17"/>
      <c r="H1781" s="93"/>
    </row>
    <row r="1782" spans="1:8" x14ac:dyDescent="0.35">
      <c r="A1782" s="21"/>
      <c r="B1782" s="21"/>
      <c r="C1782" s="17"/>
      <c r="D1782" s="21"/>
      <c r="E1782" s="21"/>
      <c r="F1782" s="17"/>
      <c r="G1782" s="17"/>
      <c r="H1782" s="93"/>
    </row>
    <row r="1783" spans="1:8" x14ac:dyDescent="0.35">
      <c r="A1783" s="21"/>
      <c r="B1783" s="21"/>
      <c r="C1783" s="17"/>
      <c r="D1783" s="21"/>
      <c r="E1783" s="21"/>
      <c r="F1783" s="17"/>
      <c r="G1783" s="17"/>
      <c r="H1783" s="93"/>
    </row>
    <row r="1784" spans="1:8" x14ac:dyDescent="0.35">
      <c r="A1784" s="21"/>
      <c r="B1784" s="21"/>
      <c r="C1784" s="17"/>
      <c r="D1784" s="21"/>
      <c r="E1784" s="21"/>
      <c r="F1784" s="17"/>
      <c r="G1784" s="17"/>
      <c r="H1784" s="93"/>
    </row>
    <row r="1785" spans="1:8" x14ac:dyDescent="0.35">
      <c r="A1785" s="21"/>
      <c r="B1785" s="21"/>
      <c r="C1785" s="17"/>
      <c r="D1785" s="21"/>
      <c r="E1785" s="21"/>
      <c r="F1785" s="17"/>
      <c r="G1785" s="17"/>
      <c r="H1785" s="93"/>
    </row>
    <row r="1786" spans="1:8" x14ac:dyDescent="0.35">
      <c r="A1786" s="21"/>
      <c r="B1786" s="21"/>
      <c r="C1786" s="17"/>
      <c r="D1786" s="21"/>
      <c r="E1786" s="21"/>
      <c r="F1786" s="17"/>
      <c r="G1786" s="17"/>
      <c r="H1786" s="93"/>
    </row>
    <row r="1787" spans="1:8" x14ac:dyDescent="0.35">
      <c r="A1787" s="21"/>
      <c r="B1787" s="21"/>
      <c r="C1787" s="17"/>
      <c r="D1787" s="21"/>
      <c r="E1787" s="21"/>
      <c r="F1787" s="17"/>
      <c r="G1787" s="17"/>
      <c r="H1787" s="93"/>
    </row>
    <row r="1788" spans="1:8" x14ac:dyDescent="0.35">
      <c r="A1788" s="21"/>
      <c r="B1788" s="21"/>
      <c r="C1788" s="17"/>
      <c r="D1788" s="21"/>
      <c r="E1788" s="21"/>
      <c r="F1788" s="17"/>
      <c r="G1788" s="17"/>
      <c r="H1788" s="93"/>
    </row>
    <row r="1789" spans="1:8" x14ac:dyDescent="0.35">
      <c r="A1789" s="21"/>
      <c r="B1789" s="21"/>
      <c r="C1789" s="17"/>
      <c r="D1789" s="21"/>
      <c r="E1789" s="21"/>
      <c r="F1789" s="17"/>
      <c r="G1789" s="17"/>
      <c r="H1789" s="93"/>
    </row>
    <row r="1790" spans="1:8" x14ac:dyDescent="0.35">
      <c r="A1790" s="21"/>
      <c r="B1790" s="21"/>
      <c r="C1790" s="17"/>
      <c r="D1790" s="21"/>
      <c r="E1790" s="21"/>
      <c r="F1790" s="17"/>
      <c r="G1790" s="17"/>
      <c r="H1790" s="93"/>
    </row>
    <row r="1791" spans="1:8" x14ac:dyDescent="0.35">
      <c r="A1791" s="21"/>
      <c r="B1791" s="21"/>
      <c r="C1791" s="17"/>
      <c r="D1791" s="21"/>
      <c r="E1791" s="21"/>
      <c r="F1791" s="17"/>
      <c r="G1791" s="17"/>
      <c r="H1791" s="93"/>
    </row>
    <row r="1792" spans="1:8" x14ac:dyDescent="0.35">
      <c r="A1792" s="21"/>
      <c r="B1792" s="21"/>
      <c r="C1792" s="17"/>
      <c r="D1792" s="21"/>
      <c r="E1792" s="21"/>
      <c r="F1792" s="17"/>
      <c r="G1792" s="17"/>
      <c r="H1792" s="93"/>
    </row>
    <row r="1793" spans="1:8" x14ac:dyDescent="0.35">
      <c r="A1793" s="21"/>
      <c r="B1793" s="21"/>
      <c r="C1793" s="17"/>
      <c r="D1793" s="21"/>
      <c r="E1793" s="21"/>
      <c r="F1793" s="17"/>
      <c r="G1793" s="17"/>
      <c r="H1793" s="93"/>
    </row>
    <row r="1794" spans="1:8" x14ac:dyDescent="0.35">
      <c r="A1794" s="21"/>
      <c r="B1794" s="21"/>
      <c r="C1794" s="17"/>
      <c r="D1794" s="21"/>
      <c r="E1794" s="21"/>
      <c r="F1794" s="17"/>
      <c r="G1794" s="17"/>
      <c r="H1794" s="93"/>
    </row>
    <row r="1795" spans="1:8" x14ac:dyDescent="0.35">
      <c r="A1795" s="21"/>
      <c r="B1795" s="21"/>
      <c r="C1795" s="17"/>
      <c r="D1795" s="21"/>
      <c r="E1795" s="21"/>
      <c r="F1795" s="17"/>
      <c r="G1795" s="17"/>
      <c r="H1795" s="93"/>
    </row>
    <row r="1796" spans="1:8" x14ac:dyDescent="0.35">
      <c r="A1796" s="21"/>
      <c r="B1796" s="21"/>
      <c r="C1796" s="17"/>
      <c r="D1796" s="21"/>
      <c r="E1796" s="21"/>
      <c r="F1796" s="17"/>
      <c r="G1796" s="17"/>
      <c r="H1796" s="93"/>
    </row>
    <row r="1797" spans="1:8" x14ac:dyDescent="0.35">
      <c r="A1797" s="21"/>
      <c r="B1797" s="21"/>
      <c r="C1797" s="17"/>
      <c r="D1797" s="21"/>
      <c r="E1797" s="21"/>
      <c r="F1797" s="17"/>
      <c r="G1797" s="17"/>
      <c r="H1797" s="93"/>
    </row>
    <row r="1798" spans="1:8" x14ac:dyDescent="0.35">
      <c r="A1798" s="21"/>
      <c r="B1798" s="21"/>
      <c r="C1798" s="17"/>
      <c r="D1798" s="21"/>
      <c r="E1798" s="21"/>
      <c r="F1798" s="17"/>
      <c r="G1798" s="17"/>
      <c r="H1798" s="93"/>
    </row>
    <row r="1799" spans="1:8" x14ac:dyDescent="0.35">
      <c r="A1799" s="21"/>
      <c r="B1799" s="21"/>
      <c r="C1799" s="17"/>
      <c r="D1799" s="21"/>
      <c r="E1799" s="21"/>
      <c r="F1799" s="17"/>
      <c r="G1799" s="17"/>
      <c r="H1799" s="93"/>
    </row>
    <row r="1800" spans="1:8" x14ac:dyDescent="0.35">
      <c r="A1800" s="21"/>
      <c r="B1800" s="21"/>
      <c r="C1800" s="17"/>
      <c r="D1800" s="21"/>
      <c r="E1800" s="21"/>
      <c r="F1800" s="17"/>
      <c r="G1800" s="17"/>
      <c r="H1800" s="93"/>
    </row>
    <row r="1801" spans="1:8" x14ac:dyDescent="0.35">
      <c r="A1801" s="21"/>
      <c r="B1801" s="21"/>
      <c r="C1801" s="17"/>
      <c r="D1801" s="21"/>
      <c r="E1801" s="21"/>
      <c r="F1801" s="17"/>
      <c r="G1801" s="17"/>
      <c r="H1801" s="93"/>
    </row>
    <row r="1802" spans="1:8" x14ac:dyDescent="0.35">
      <c r="A1802" s="21"/>
      <c r="B1802" s="21"/>
      <c r="C1802" s="17"/>
      <c r="D1802" s="21"/>
      <c r="E1802" s="21"/>
      <c r="F1802" s="17"/>
      <c r="G1802" s="17"/>
      <c r="H1802" s="93"/>
    </row>
    <row r="1803" spans="1:8" x14ac:dyDescent="0.35">
      <c r="A1803" s="21"/>
      <c r="B1803" s="21"/>
      <c r="C1803" s="17"/>
      <c r="D1803" s="21"/>
      <c r="E1803" s="21"/>
      <c r="F1803" s="17"/>
      <c r="G1803" s="17"/>
      <c r="H1803" s="93"/>
    </row>
    <row r="1804" spans="1:8" x14ac:dyDescent="0.35">
      <c r="A1804" s="21"/>
      <c r="B1804" s="21"/>
      <c r="C1804" s="17"/>
      <c r="D1804" s="21"/>
      <c r="E1804" s="21"/>
      <c r="F1804" s="17"/>
      <c r="G1804" s="17"/>
      <c r="H1804" s="93"/>
    </row>
    <row r="1805" spans="1:8" x14ac:dyDescent="0.35">
      <c r="A1805" s="21"/>
      <c r="B1805" s="21"/>
      <c r="C1805" s="17"/>
      <c r="D1805" s="21"/>
      <c r="E1805" s="21"/>
      <c r="F1805" s="17"/>
      <c r="G1805" s="17"/>
      <c r="H1805" s="93"/>
    </row>
    <row r="1806" spans="1:8" x14ac:dyDescent="0.35">
      <c r="A1806" s="21"/>
      <c r="B1806" s="21"/>
      <c r="C1806" s="17"/>
      <c r="D1806" s="21"/>
      <c r="E1806" s="21"/>
      <c r="F1806" s="17"/>
      <c r="G1806" s="17"/>
      <c r="H1806" s="93"/>
    </row>
    <row r="1807" spans="1:8" x14ac:dyDescent="0.35">
      <c r="A1807" s="21"/>
      <c r="B1807" s="21"/>
      <c r="C1807" s="17"/>
      <c r="D1807" s="21"/>
      <c r="E1807" s="21"/>
      <c r="F1807" s="17"/>
      <c r="G1807" s="17"/>
      <c r="H1807" s="93"/>
    </row>
    <row r="1808" spans="1:8" x14ac:dyDescent="0.35">
      <c r="A1808" s="21"/>
      <c r="B1808" s="21"/>
      <c r="C1808" s="17"/>
      <c r="D1808" s="21"/>
      <c r="E1808" s="21"/>
      <c r="F1808" s="17"/>
      <c r="G1808" s="17"/>
      <c r="H1808" s="93"/>
    </row>
    <row r="1809" spans="1:8" x14ac:dyDescent="0.35">
      <c r="A1809" s="21"/>
      <c r="B1809" s="21"/>
      <c r="C1809" s="17"/>
      <c r="D1809" s="21"/>
      <c r="E1809" s="21"/>
      <c r="F1809" s="17"/>
      <c r="G1809" s="17"/>
      <c r="H1809" s="93"/>
    </row>
    <row r="1810" spans="1:8" x14ac:dyDescent="0.35">
      <c r="A1810" s="21"/>
      <c r="B1810" s="21"/>
      <c r="C1810" s="17"/>
      <c r="D1810" s="21"/>
      <c r="E1810" s="21"/>
      <c r="F1810" s="17"/>
      <c r="G1810" s="17"/>
      <c r="H1810" s="93"/>
    </row>
    <row r="1811" spans="1:8" x14ac:dyDescent="0.35">
      <c r="A1811" s="21"/>
      <c r="B1811" s="21"/>
      <c r="C1811" s="17"/>
      <c r="D1811" s="21"/>
      <c r="E1811" s="21"/>
      <c r="F1811" s="17"/>
      <c r="G1811" s="17"/>
      <c r="H1811" s="93"/>
    </row>
    <row r="1812" spans="1:8" x14ac:dyDescent="0.35">
      <c r="A1812" s="21"/>
      <c r="B1812" s="21"/>
      <c r="C1812" s="17"/>
      <c r="D1812" s="21"/>
      <c r="E1812" s="21"/>
      <c r="F1812" s="17"/>
      <c r="G1812" s="17"/>
      <c r="H1812" s="93"/>
    </row>
    <row r="1813" spans="1:8" x14ac:dyDescent="0.35">
      <c r="A1813" s="21"/>
      <c r="B1813" s="21"/>
      <c r="C1813" s="17"/>
      <c r="D1813" s="21"/>
      <c r="E1813" s="21"/>
      <c r="F1813" s="17"/>
      <c r="G1813" s="17"/>
      <c r="H1813" s="93"/>
    </row>
    <row r="1814" spans="1:8" x14ac:dyDescent="0.35">
      <c r="A1814" s="21"/>
      <c r="B1814" s="21"/>
      <c r="C1814" s="17"/>
      <c r="D1814" s="21"/>
      <c r="E1814" s="21"/>
      <c r="F1814" s="17"/>
      <c r="G1814" s="17"/>
      <c r="H1814" s="93"/>
    </row>
    <row r="1815" spans="1:8" x14ac:dyDescent="0.35">
      <c r="A1815" s="21"/>
      <c r="B1815" s="21"/>
      <c r="C1815" s="17"/>
      <c r="D1815" s="21"/>
      <c r="E1815" s="21"/>
      <c r="F1815" s="17"/>
      <c r="G1815" s="17"/>
      <c r="H1815" s="93"/>
    </row>
    <row r="1816" spans="1:8" x14ac:dyDescent="0.35">
      <c r="A1816" s="21"/>
      <c r="B1816" s="21"/>
      <c r="C1816" s="17"/>
      <c r="D1816" s="21"/>
      <c r="E1816" s="21"/>
      <c r="F1816" s="17"/>
      <c r="G1816" s="17"/>
      <c r="H1816" s="93"/>
    </row>
  </sheetData>
  <conditionalFormatting sqref="A1:H1 G6:H8 G10:H11 A12:H12 G13:H17 A18:H18 G19:H20 A21:H24 G25:H53 A54:H54 G55:H73 A74:H74 G75:H99 A100:H100 G101:H102 A103:H103 G104:H107 A108:H108 G109:H117 A118:H118 G119:H123 A124:H124 G125:H126 A127:H127 G128:H137 A138:H138 G139:G144 A145:F145 G146:H155 A6:E8 A13:E17 A19:E20 A25:E53 A55:E73 A75:E99 A101:E102 A104:E107 A109:E117 A119:E123 A125:E126 A128:E137 A139:E144 H139:H145 A146:E155">
    <cfRule type="expression" dxfId="78" priority="29">
      <formula>ROW()=CELL("FILA")</formula>
    </cfRule>
  </conditionalFormatting>
  <conditionalFormatting sqref="A5:H5">
    <cfRule type="expression" dxfId="77" priority="21">
      <formula>ROW()=CELL("FILA")</formula>
    </cfRule>
  </conditionalFormatting>
  <conditionalFormatting sqref="A9:H9">
    <cfRule type="expression" dxfId="76" priority="3">
      <formula>ROW()=CELL("FILA")</formula>
    </cfRule>
  </conditionalFormatting>
  <conditionalFormatting sqref="A575:H606">
    <cfRule type="expression" dxfId="75" priority="7">
      <formula>ROW()=CELL("FILA")</formula>
    </cfRule>
  </conditionalFormatting>
  <conditionalFormatting sqref="A610:H1048576">
    <cfRule type="expression" dxfId="74" priority="4">
      <formula>ROW()=CELL("FILA")</formula>
    </cfRule>
  </conditionalFormatting>
  <conditionalFormatting sqref="F1:F2 F156 G157:G171 G173 F174 G175:G185 F186 G187 F188 G189:G195 F196 G197:G203 F204 G205 F206 G207:G215 F216 G217:G226 F227 G228:G237 F238 G239:G249 F250 G251:G258 F259 G260:G263 F264 G265 F266 G267 F268 G269:G275 F276 G277 F278 G279:G288 F289 G290:G292 F293 F299 G300:G301 F302 F322 G323:G332 F333 G334:G335 F336 G337 F338 G339:G343 F344 G345 F346 G347 F348 G349 F350 G351:G361 F362 G363:G367 F368 G369:G371 F372 G373:G381 F382 G383:G389 F390 G391:G399 F400 G401:G413 F414 G415:G422 F423 G424 F425 G426:G427 F428 G429:G434 F435 G436:G442 F443 G444:G450 F451 G452:G476 F477 G478 F479 G480:G481 F482 G483:G484 F485 G531 G533:G536 F537 G538:G539 F540 G541:G549 F559 G560:G561 F562 G563 G565 F566 G567:G574 F607:F608 G6:G8 G10:G11 F12 G13:G17 F18 G19:G20 F21:F24 G25:G53 F54 G55:G73 F74 G75:G76 G78:G99 F100 G101:G102 F103 G104:G107 F108 G109:G117 F118 G119:G123 F124 G125:G126 F127 G128:G137 F138 G139:G144 F145 G146:G155">
    <cfRule type="containsText" dxfId="73" priority="27" operator="containsText" text="VENTA POR MANO">
      <formula>NOT(ISERROR(SEARCH("VENTA POR MANO",F1)))</formula>
    </cfRule>
  </conditionalFormatting>
  <conditionalFormatting sqref="F1:F2 G6:G8 G10:G11 F12 G13:G17 F18 G19:G20 F21:F24 G25:G53 F54 G55:G73 F74 G75:G76 G78:G99 F100 G101:G102 F103 G104:G107 F108 G109:G117 F118 G119:G123 F124 G125:G126 F127 G128:G137 F138 G139:G144 F145 G146:G155 F156 G157:G171 G173 F174 G175:G185 F186 G187 F188 G189:G195 F196 G197:G203 F204 G205 F206 G207:G215 F216 G217:G226 F227 G228:G237 F238 G239:G249 F250 G251:G258 F259 G260:G263 F264 G265 F266 G267 F268 G269:G275 F276 G277 F278 G279:G288 F289 G290:G292 F293 F299 G300:G301 F302 F322 G323:G332 F333 G334:G335 F336 G337 F338 G339:G343 F344 G345 F346 G347 F348 G349 F350 G351:G361 F362 G363:G367 F368 G369:G371 F372 G373:G381 F382 G383:G389 F390 G391:G399 F400 G401:G413 F414 G415:G422 F423 G424 F425 G426:G427 F428 G429:G434 F435 G436:G442 F443 G444:G450 F451 G452:G476 F477 G478 F479 G480:G481 F482 G483:G484 F485 G531 G533:G536 F537 G538:G539 F540 G541:G549 F559 G560:G561 F562 G563 G565 F566 G567:G574 F607:F608">
    <cfRule type="containsText" dxfId="72" priority="28" operator="containsText" text="SIN ASIGNAR">
      <formula>NOT(ISERROR(SEARCH("SIN ASIGNAR",F1)))</formula>
    </cfRule>
  </conditionalFormatting>
  <conditionalFormatting sqref="F2 A2:E4 G2:H4 A10:D10 A11:E11 A156:H156 A157:E173 G157:H173 A174:H174 A175:E185 G175:H185 A186:H186 A187:E187 G187:H187 A188:H188 A189:E195 G189:H195 A196:H196 A197:E203 G197:H203 A204:H204 A205:E205 G205:H205 A206:H206 A207:E215 G207:H215 A216:H216 A217:E226 G217:H226 A227:H227 A228:E237 G228:H237 A238:H238 A239:E249 G239:H249 A250:H250 A251:E258 G251:H258 A259:H259 A260:E263 G260:H263 A264:H264 A265:E265 G265:H265 A266:H266 A267:E267 G267:H267 A268:H268 A269:E275 G269:H275 A276:H276 A277:E277 G277:H277 A278:H278 A279:E288 G279:H288 A289:H289 A290:E292 G290:H292 A293:H293 A294:E298 G294:H298 A299:H299 A300:E301 G300:H301 A302:H302 A303:E321 G303:H321 A322:H322 A323:E332 G323:H332 A333:H333 A334:E335 G334:H335 A336:H336 A337:E337 G337:H337 A338:H338 A339:E343 G339:H343 A344:H344 A345:E345 G345:H345 A346:H346 A347:E347 G347:H347 A348:H348 A349:E349 G349:H349 A350:H350 A351:E361 G351:H361 A362:H362 A363:E367 G363:H367 A368:H368 A369:E371 G369:H371 A372:H372 A373:E381 G373:H381 A382:H382 A383:E389 G383:H389 A390:H390 A391:E399 G391:H399 A400:H400 A401:E413 G401:H413 A414:H414 A415:E422 G415:H422 A423:H423 A424:E424 G424:H424 A425:H425 A426:E427 G426:H427 A428:H428 A429:E434 G429:H434 A435:H435 A436:E442 G436:H442 A443:H443 A444:E450 G444:H450 A451:H451 A452:E452 G452:H476 C453:E453 A454:E476 A477:H477 A478:E478 G478:H478 A479:H479 A480:E481 G480:H481 A482:H482 A483:E484 G483:H484 A485:H485 A486:E531 G486:H531 A532:C532 H532 A533:E536 G533:H536 A537:H537 A538:E539 G538:H539 A540:H540 A541:E558 G541:H558 F551 A559:H559 A560:E561 G560:H561 A562:H562 A563:E565 G563:H565 A566:H566 A567:E574 G567:H574 F607 A608:H608 A609:E609 G609:H609">
    <cfRule type="expression" dxfId="71" priority="26">
      <formula>ROW()=CELL("FILA")</formula>
    </cfRule>
  </conditionalFormatting>
  <conditionalFormatting sqref="F2">
    <cfRule type="containsText" dxfId="70" priority="25" operator="containsText" text="SIN ASIGNAR">
      <formula>NOT(ISERROR(SEARCH("SIN ASIGNAR",F2)))</formula>
    </cfRule>
    <cfRule type="containsText" dxfId="69" priority="30" operator="containsText" text="GUILLERMO">
      <formula>NOT(ISERROR(SEARCH("GUILLERMO",F2)))</formula>
    </cfRule>
  </conditionalFormatting>
  <conditionalFormatting sqref="F5">
    <cfRule type="containsText" dxfId="68" priority="19" operator="containsText" text="VENTA POR MANO">
      <formula>NOT(ISERROR(SEARCH("VENTA POR MANO",F5)))</formula>
    </cfRule>
    <cfRule type="containsText" dxfId="67" priority="20" operator="containsText" text="SIN ASIGNAR">
      <formula>NOT(ISERROR(SEARCH("SIN ASIGNAR",F5)))</formula>
    </cfRule>
  </conditionalFormatting>
  <conditionalFormatting sqref="F9">
    <cfRule type="containsText" dxfId="66" priority="1" operator="containsText" text="VENTA POR MANO">
      <formula>NOT(ISERROR(SEARCH("VENTA POR MANO",F9)))</formula>
    </cfRule>
    <cfRule type="containsText" dxfId="65" priority="2" operator="containsText" text="SIN ASIGNAR">
      <formula>NOT(ISERROR(SEARCH("SIN ASIGNAR",F9)))</formula>
    </cfRule>
  </conditionalFormatting>
  <conditionalFormatting sqref="F575:F606">
    <cfRule type="containsText" dxfId="64" priority="8" operator="containsText" text="VENTA POR MANO">
      <formula>NOT(ISERROR(SEARCH("VENTA POR MANO",F575)))</formula>
    </cfRule>
    <cfRule type="containsText" dxfId="63" priority="9" operator="containsText" text="SIN ASIGNAR">
      <formula>NOT(ISERROR(SEARCH("SIN ASIGNAR",F575)))</formula>
    </cfRule>
  </conditionalFormatting>
  <conditionalFormatting sqref="F610:F1048576">
    <cfRule type="containsText" dxfId="62" priority="5" operator="containsText" text="VENTA POR MANO">
      <formula>NOT(ISERROR(SEARCH("VENTA POR MANO",F610)))</formula>
    </cfRule>
    <cfRule type="containsText" dxfId="61" priority="6" operator="containsText" text="SIN ASIGNAR">
      <formula>NOT(ISERROR(SEARCH("SIN ASIGNAR",F610)))</formula>
    </cfRule>
  </conditionalFormatting>
  <conditionalFormatting sqref="I1:AB1">
    <cfRule type="expression" dxfId="60" priority="24">
      <formula>ROW()=CELL("FILA")</formula>
    </cfRule>
  </conditionalFormatting>
  <conditionalFormatting sqref="N1 V1">
    <cfRule type="containsText" dxfId="59" priority="22" operator="containsText" text="VENTA POR MANO">
      <formula>NOT(ISERROR(SEARCH("VENTA POR MANO",N1)))</formula>
    </cfRule>
    <cfRule type="containsText" dxfId="58" priority="23" operator="containsText" text="SIN ASIGNAR">
      <formula>NOT(ISERROR(SEARCH("SIN ASIGNAR",N1)))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A1263"/>
  <sheetViews>
    <sheetView zoomScale="70" zoomScaleNormal="70" workbookViewId="0">
      <pane ySplit="1" topLeftCell="A683" activePane="bottomLeft" state="frozen"/>
      <selection activeCell="D1" sqref="D1"/>
      <selection pane="bottomLeft" activeCell="D647" sqref="D647"/>
    </sheetView>
  </sheetViews>
  <sheetFormatPr baseColWidth="10" defaultRowHeight="21" x14ac:dyDescent="0.35"/>
  <cols>
    <col min="1" max="1" width="41.28515625" style="18" customWidth="1"/>
    <col min="2" max="2" width="40.85546875" style="18" customWidth="1"/>
    <col min="3" max="3" width="11.5703125" style="19" bestFit="1" customWidth="1"/>
    <col min="4" max="4" width="26.5703125" style="18" customWidth="1"/>
    <col min="5" max="5" width="77.42578125" style="18" customWidth="1"/>
    <col min="6" max="6" width="58.7109375" style="19" customWidth="1"/>
    <col min="7" max="7" width="12" style="19" customWidth="1"/>
    <col min="8" max="8" width="15.140625" style="100" customWidth="1"/>
    <col min="9" max="9" width="14.42578125" style="17" customWidth="1"/>
    <col min="10" max="10" width="16.85546875" style="17" customWidth="1"/>
    <col min="11" max="11" width="15.42578125" style="17" customWidth="1"/>
    <col min="12" max="12" width="18.28515625" style="17" customWidth="1"/>
    <col min="13" max="13" width="14.42578125" style="17" customWidth="1"/>
    <col min="14" max="14" width="18" style="17" customWidth="1"/>
    <col min="15" max="16" width="11.42578125" style="17"/>
    <col min="17" max="17" width="12.7109375" style="17" customWidth="1"/>
    <col min="18" max="18" width="16.140625" style="17" customWidth="1"/>
    <col min="19" max="19" width="11.42578125" style="17"/>
  </cols>
  <sheetData>
    <row r="1" spans="1:27" s="18" customFormat="1" ht="57" customHeight="1" x14ac:dyDescent="0.35">
      <c r="A1" s="65" t="s">
        <v>0</v>
      </c>
      <c r="B1" s="65" t="s">
        <v>1</v>
      </c>
      <c r="C1" s="66" t="s">
        <v>2</v>
      </c>
      <c r="D1" s="65" t="s">
        <v>3</v>
      </c>
      <c r="E1" s="65" t="s">
        <v>4</v>
      </c>
      <c r="F1" s="66" t="s">
        <v>86</v>
      </c>
      <c r="G1" s="66" t="s">
        <v>5</v>
      </c>
      <c r="H1" s="101" t="s">
        <v>6</v>
      </c>
      <c r="I1" s="69" t="s">
        <v>430</v>
      </c>
      <c r="J1" s="69" t="s">
        <v>431</v>
      </c>
      <c r="K1" s="69" t="s">
        <v>10</v>
      </c>
      <c r="L1" s="69" t="s">
        <v>432</v>
      </c>
      <c r="M1" s="69" t="s">
        <v>433</v>
      </c>
      <c r="N1" s="69" t="s">
        <v>434</v>
      </c>
      <c r="O1" s="69" t="s">
        <v>435</v>
      </c>
      <c r="P1" s="73" t="s">
        <v>437</v>
      </c>
      <c r="Q1" s="73" t="s">
        <v>9</v>
      </c>
      <c r="R1" s="73" t="s">
        <v>140</v>
      </c>
      <c r="S1" s="73" t="s">
        <v>8</v>
      </c>
      <c r="T1" s="68"/>
      <c r="U1" s="66"/>
      <c r="V1" s="66"/>
      <c r="W1" s="67"/>
      <c r="X1" s="65"/>
      <c r="Y1" s="65"/>
      <c r="Z1" s="66"/>
      <c r="AA1" s="65"/>
    </row>
    <row r="2" spans="1:27" x14ac:dyDescent="0.35">
      <c r="A2" s="21" t="s">
        <v>164</v>
      </c>
      <c r="B2" s="21" t="s">
        <v>165</v>
      </c>
      <c r="C2" s="16">
        <v>4517</v>
      </c>
      <c r="D2" s="21" t="s">
        <v>166</v>
      </c>
      <c r="E2" s="21" t="s">
        <v>167</v>
      </c>
      <c r="F2" s="17" t="s">
        <v>169</v>
      </c>
      <c r="G2" s="17">
        <v>1</v>
      </c>
      <c r="H2" s="93" t="s">
        <v>168</v>
      </c>
    </row>
    <row r="3" spans="1:27" x14ac:dyDescent="0.35">
      <c r="A3" s="21"/>
      <c r="B3" s="21"/>
      <c r="C3" s="17"/>
      <c r="D3" s="21"/>
      <c r="E3" s="21"/>
      <c r="F3" s="57" t="s">
        <v>285</v>
      </c>
      <c r="G3" s="17"/>
      <c r="H3" s="93"/>
    </row>
    <row r="4" spans="1:27" x14ac:dyDescent="0.35">
      <c r="A4" s="21"/>
      <c r="B4" s="21"/>
      <c r="C4" s="17"/>
      <c r="D4" s="21"/>
      <c r="E4" s="71"/>
      <c r="F4" s="17"/>
      <c r="G4" s="72"/>
      <c r="H4" s="93"/>
    </row>
    <row r="5" spans="1:27" s="76" customFormat="1" ht="21.75" thickBot="1" x14ac:dyDescent="0.4">
      <c r="A5" s="48"/>
      <c r="B5" s="48"/>
      <c r="C5" s="49"/>
      <c r="D5" s="48"/>
      <c r="E5" s="48"/>
      <c r="F5" s="49"/>
      <c r="G5" s="49"/>
      <c r="H5" s="94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</row>
    <row r="6" spans="1:27" x14ac:dyDescent="0.35">
      <c r="A6" s="46" t="s">
        <v>136</v>
      </c>
      <c r="B6" s="46" t="s">
        <v>255</v>
      </c>
      <c r="C6" s="51">
        <v>4737</v>
      </c>
      <c r="D6" s="46" t="s">
        <v>253</v>
      </c>
      <c r="E6" s="46" t="s">
        <v>254</v>
      </c>
      <c r="F6" s="46"/>
      <c r="G6" s="47">
        <v>2</v>
      </c>
      <c r="H6" s="95">
        <v>46062</v>
      </c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</row>
    <row r="7" spans="1:27" x14ac:dyDescent="0.35">
      <c r="A7" s="21"/>
      <c r="B7" s="21"/>
      <c r="C7" s="17"/>
      <c r="D7" s="21" t="s">
        <v>221</v>
      </c>
      <c r="E7" s="21" t="s">
        <v>222</v>
      </c>
      <c r="F7" s="57" t="s">
        <v>264</v>
      </c>
      <c r="G7" s="17">
        <v>2</v>
      </c>
      <c r="H7" s="93"/>
    </row>
    <row r="8" spans="1:27" x14ac:dyDescent="0.35">
      <c r="A8" s="21"/>
      <c r="B8" s="21"/>
      <c r="C8" s="17"/>
      <c r="D8" s="21" t="s">
        <v>77</v>
      </c>
      <c r="E8" s="21" t="s">
        <v>20</v>
      </c>
      <c r="F8" s="21"/>
      <c r="G8" s="17">
        <v>2</v>
      </c>
      <c r="H8" s="93"/>
    </row>
    <row r="9" spans="1:27" s="76" customFormat="1" ht="21.75" thickBot="1" x14ac:dyDescent="0.4">
      <c r="A9" s="48"/>
      <c r="B9" s="48"/>
      <c r="C9" s="49"/>
      <c r="D9" s="48"/>
      <c r="E9" s="48"/>
      <c r="F9" s="49"/>
      <c r="G9" s="49"/>
      <c r="H9" s="94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</row>
    <row r="10" spans="1:27" ht="21.75" thickBot="1" x14ac:dyDescent="0.4">
      <c r="A10" s="46" t="s">
        <v>258</v>
      </c>
      <c r="B10" s="46" t="s">
        <v>259</v>
      </c>
      <c r="C10" s="51">
        <v>4745</v>
      </c>
      <c r="D10" s="46" t="s">
        <v>76</v>
      </c>
      <c r="E10" s="48" t="s">
        <v>150</v>
      </c>
      <c r="F10" s="47" t="s">
        <v>241</v>
      </c>
      <c r="G10" s="47">
        <v>4</v>
      </c>
      <c r="H10" s="95">
        <v>46064</v>
      </c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</row>
    <row r="11" spans="1:27" x14ac:dyDescent="0.35">
      <c r="A11" s="21"/>
      <c r="B11" s="21"/>
      <c r="C11" s="17"/>
      <c r="D11" s="21" t="s">
        <v>77</v>
      </c>
      <c r="E11" s="21" t="s">
        <v>20</v>
      </c>
      <c r="F11" s="57" t="s">
        <v>285</v>
      </c>
      <c r="G11" s="17">
        <v>4</v>
      </c>
      <c r="H11" s="93"/>
    </row>
    <row r="12" spans="1:27" s="76" customFormat="1" ht="21.75" thickBot="1" x14ac:dyDescent="0.4">
      <c r="A12" s="48"/>
      <c r="B12" s="48"/>
      <c r="C12" s="49"/>
      <c r="D12" s="48"/>
      <c r="E12" s="48"/>
      <c r="F12" s="49"/>
      <c r="G12" s="49"/>
      <c r="H12" s="94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</row>
    <row r="13" spans="1:27" x14ac:dyDescent="0.35">
      <c r="A13" s="46" t="s">
        <v>173</v>
      </c>
      <c r="B13" s="46" t="s">
        <v>302</v>
      </c>
      <c r="C13" s="51">
        <v>4808</v>
      </c>
      <c r="D13" s="46" t="s">
        <v>77</v>
      </c>
      <c r="F13" s="47"/>
      <c r="G13" s="47">
        <v>5</v>
      </c>
      <c r="H13" s="95">
        <v>46094</v>
      </c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</row>
    <row r="14" spans="1:27" ht="21.75" thickBot="1" x14ac:dyDescent="0.4">
      <c r="A14" s="21"/>
      <c r="B14" s="21"/>
      <c r="C14" s="17"/>
      <c r="D14" s="21"/>
      <c r="E14" s="46" t="s">
        <v>20</v>
      </c>
      <c r="F14" s="58" t="s">
        <v>595</v>
      </c>
      <c r="G14" s="17"/>
      <c r="H14" s="93"/>
    </row>
    <row r="15" spans="1:27" s="76" customFormat="1" ht="21.75" thickBot="1" x14ac:dyDescent="0.4">
      <c r="A15" s="48"/>
      <c r="B15" s="48"/>
      <c r="C15" s="49"/>
      <c r="D15" s="48"/>
      <c r="E15" s="48"/>
      <c r="F15" s="49"/>
      <c r="G15" s="49"/>
      <c r="H15" s="94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</row>
    <row r="16" spans="1:27" x14ac:dyDescent="0.35">
      <c r="A16" s="46" t="s">
        <v>11</v>
      </c>
      <c r="B16" s="46" t="s">
        <v>163</v>
      </c>
      <c r="C16" s="54">
        <v>4946</v>
      </c>
      <c r="D16" s="46" t="s">
        <v>76</v>
      </c>
      <c r="E16" s="46" t="s">
        <v>150</v>
      </c>
      <c r="F16" s="19" t="s">
        <v>450</v>
      </c>
      <c r="G16" s="47">
        <v>1</v>
      </c>
      <c r="H16" s="95">
        <v>46149</v>
      </c>
      <c r="I16" s="47"/>
      <c r="J16" s="47"/>
      <c r="K16" s="47">
        <v>0.5</v>
      </c>
      <c r="L16" s="47"/>
      <c r="M16" s="47"/>
      <c r="N16" s="47">
        <v>0.5</v>
      </c>
      <c r="O16" s="47"/>
      <c r="P16" s="47"/>
      <c r="Q16" s="47"/>
      <c r="R16" s="47"/>
      <c r="S16" s="47"/>
    </row>
    <row r="17" spans="1:19" x14ac:dyDescent="0.35">
      <c r="A17" s="21"/>
      <c r="B17" s="21"/>
      <c r="C17" s="17"/>
      <c r="D17" s="21" t="s">
        <v>77</v>
      </c>
      <c r="E17" s="21" t="s">
        <v>20</v>
      </c>
      <c r="F17" s="17"/>
      <c r="G17" s="17">
        <v>1</v>
      </c>
      <c r="H17" s="93"/>
      <c r="K17" s="17">
        <v>0.5</v>
      </c>
      <c r="N17" s="17">
        <v>0.5</v>
      </c>
    </row>
    <row r="18" spans="1:19" x14ac:dyDescent="0.35">
      <c r="A18" s="21"/>
      <c r="B18" s="21"/>
      <c r="C18" s="17"/>
      <c r="D18" s="21" t="s">
        <v>91</v>
      </c>
      <c r="E18" s="21" t="s">
        <v>27</v>
      </c>
      <c r="F18" s="17"/>
      <c r="G18" s="17">
        <v>1</v>
      </c>
      <c r="H18" s="93"/>
    </row>
    <row r="19" spans="1:19" x14ac:dyDescent="0.35">
      <c r="A19" s="21"/>
      <c r="B19" s="21"/>
      <c r="C19" s="17"/>
      <c r="D19" s="21" t="s">
        <v>105</v>
      </c>
      <c r="E19" s="21" t="s">
        <v>67</v>
      </c>
      <c r="F19" s="17"/>
      <c r="G19" s="17">
        <v>1</v>
      </c>
      <c r="H19" s="93"/>
    </row>
    <row r="20" spans="1:19" x14ac:dyDescent="0.35">
      <c r="A20" s="21"/>
      <c r="B20" s="21"/>
      <c r="C20" s="17"/>
      <c r="D20" s="21" t="s">
        <v>282</v>
      </c>
      <c r="E20" s="21" t="s">
        <v>283</v>
      </c>
      <c r="F20" s="17"/>
      <c r="G20" s="17">
        <v>1</v>
      </c>
      <c r="H20" s="93"/>
    </row>
    <row r="21" spans="1:19" x14ac:dyDescent="0.35">
      <c r="A21" s="21"/>
      <c r="B21" s="21"/>
      <c r="C21" s="17"/>
      <c r="D21" s="21" t="s">
        <v>143</v>
      </c>
      <c r="E21" s="21" t="s">
        <v>287</v>
      </c>
      <c r="F21" s="17"/>
      <c r="G21" s="17">
        <v>1</v>
      </c>
      <c r="H21" s="93"/>
      <c r="K21" s="17">
        <v>1.5</v>
      </c>
      <c r="N21" s="17">
        <v>1.5</v>
      </c>
    </row>
    <row r="22" spans="1:19" x14ac:dyDescent="0.35">
      <c r="A22" s="21"/>
      <c r="B22" s="21"/>
      <c r="C22" s="17"/>
      <c r="D22" s="21" t="s">
        <v>88</v>
      </c>
      <c r="E22" s="21" t="s">
        <v>352</v>
      </c>
      <c r="F22" s="17"/>
      <c r="G22" s="17">
        <v>1</v>
      </c>
      <c r="H22" s="93"/>
      <c r="K22" s="17">
        <v>0.5</v>
      </c>
      <c r="N22" s="17">
        <v>0.5</v>
      </c>
    </row>
    <row r="23" spans="1:19" x14ac:dyDescent="0.35">
      <c r="A23" s="21"/>
      <c r="B23" s="21"/>
      <c r="C23" s="17"/>
      <c r="D23" s="21" t="s">
        <v>87</v>
      </c>
      <c r="E23" s="21" t="s">
        <v>419</v>
      </c>
      <c r="F23" s="17"/>
      <c r="G23" s="17">
        <v>1</v>
      </c>
      <c r="H23" s="93"/>
      <c r="K23" s="17">
        <v>0.5</v>
      </c>
      <c r="N23" s="17">
        <v>0.5</v>
      </c>
    </row>
    <row r="24" spans="1:19" x14ac:dyDescent="0.35">
      <c r="A24" s="21"/>
      <c r="B24" s="21"/>
      <c r="C24" s="17"/>
      <c r="D24" s="21" t="s">
        <v>81</v>
      </c>
      <c r="E24" s="21" t="s">
        <v>496</v>
      </c>
      <c r="F24" s="17"/>
      <c r="G24" s="17">
        <v>1</v>
      </c>
      <c r="H24" s="93"/>
      <c r="K24" s="17">
        <v>0.5</v>
      </c>
      <c r="N24" s="17">
        <v>0.5</v>
      </c>
    </row>
    <row r="25" spans="1:19" s="76" customFormat="1" ht="21.75" thickBot="1" x14ac:dyDescent="0.4">
      <c r="A25" s="48"/>
      <c r="B25" s="48"/>
      <c r="C25" s="49"/>
      <c r="D25" s="48"/>
      <c r="E25" s="48"/>
      <c r="F25" s="49"/>
      <c r="G25" s="49"/>
      <c r="H25" s="94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</row>
    <row r="26" spans="1:19" x14ac:dyDescent="0.35">
      <c r="A26" s="46" t="s">
        <v>512</v>
      </c>
      <c r="B26" s="46" t="s">
        <v>513</v>
      </c>
      <c r="C26" s="53">
        <v>4952</v>
      </c>
      <c r="D26" s="46" t="s">
        <v>132</v>
      </c>
      <c r="E26" s="46" t="s">
        <v>133</v>
      </c>
      <c r="F26" s="47" t="s">
        <v>514</v>
      </c>
      <c r="G26" s="47">
        <v>3</v>
      </c>
      <c r="H26" s="95">
        <v>46153</v>
      </c>
      <c r="I26" s="47"/>
      <c r="J26" s="47">
        <v>1.5</v>
      </c>
      <c r="K26" s="47"/>
      <c r="L26" s="47"/>
      <c r="M26" s="47">
        <v>1.5</v>
      </c>
      <c r="N26" s="47"/>
      <c r="O26" s="47"/>
      <c r="P26" s="47"/>
      <c r="Q26" s="47"/>
      <c r="R26" s="47"/>
      <c r="S26" s="47"/>
    </row>
    <row r="27" spans="1:19" x14ac:dyDescent="0.35">
      <c r="A27" s="21"/>
      <c r="B27" s="21"/>
      <c r="C27" s="17"/>
      <c r="D27" s="21" t="s">
        <v>77</v>
      </c>
      <c r="E27" s="21" t="s">
        <v>20</v>
      </c>
      <c r="G27" s="17">
        <v>3</v>
      </c>
      <c r="H27" s="93"/>
    </row>
    <row r="28" spans="1:19" s="76" customFormat="1" ht="21.75" thickBot="1" x14ac:dyDescent="0.4">
      <c r="A28" s="48"/>
      <c r="B28" s="48"/>
      <c r="C28" s="49"/>
      <c r="D28" s="48"/>
      <c r="E28" s="48"/>
      <c r="F28" s="49"/>
      <c r="G28" s="49"/>
      <c r="H28" s="94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</row>
    <row r="29" spans="1:19" x14ac:dyDescent="0.35">
      <c r="A29" s="46" t="s">
        <v>582</v>
      </c>
      <c r="B29" s="46" t="s">
        <v>414</v>
      </c>
      <c r="C29" s="53">
        <v>4961</v>
      </c>
      <c r="D29" s="46" t="s">
        <v>76</v>
      </c>
      <c r="E29" s="46" t="s">
        <v>150</v>
      </c>
      <c r="F29" s="19" t="s">
        <v>587</v>
      </c>
      <c r="G29" s="47">
        <v>1</v>
      </c>
      <c r="H29" s="95">
        <v>46155</v>
      </c>
      <c r="I29" s="47"/>
      <c r="J29" s="47">
        <v>0.25</v>
      </c>
      <c r="K29" s="47"/>
      <c r="L29" s="47"/>
      <c r="M29" s="47">
        <v>0.25</v>
      </c>
      <c r="N29" s="47"/>
      <c r="O29" s="47"/>
      <c r="P29" s="47"/>
      <c r="Q29" s="47"/>
      <c r="R29" s="47"/>
      <c r="S29" s="47"/>
    </row>
    <row r="30" spans="1:19" x14ac:dyDescent="0.35">
      <c r="A30" s="21"/>
      <c r="B30" s="21"/>
      <c r="C30" s="17"/>
      <c r="D30" s="21" t="s">
        <v>583</v>
      </c>
      <c r="E30" s="21" t="s">
        <v>584</v>
      </c>
      <c r="F30" s="17"/>
      <c r="G30" s="17">
        <v>1</v>
      </c>
      <c r="H30" s="93"/>
      <c r="J30" s="17">
        <v>0.5</v>
      </c>
      <c r="M30" s="17">
        <v>0.5</v>
      </c>
    </row>
    <row r="31" spans="1:19" x14ac:dyDescent="0.35">
      <c r="A31" s="21"/>
      <c r="B31" s="21"/>
      <c r="C31" s="17"/>
      <c r="D31" s="21" t="s">
        <v>77</v>
      </c>
      <c r="E31" s="21" t="s">
        <v>20</v>
      </c>
      <c r="F31" s="17"/>
      <c r="G31" s="17">
        <v>1</v>
      </c>
      <c r="H31" s="93"/>
    </row>
    <row r="32" spans="1:19" x14ac:dyDescent="0.35">
      <c r="A32" s="21"/>
      <c r="B32" s="21"/>
      <c r="C32" s="17"/>
      <c r="D32" s="21" t="s">
        <v>585</v>
      </c>
      <c r="E32" s="21" t="s">
        <v>586</v>
      </c>
      <c r="F32" s="17"/>
      <c r="G32" s="17">
        <v>1</v>
      </c>
      <c r="H32" s="93"/>
      <c r="J32" s="17">
        <v>0.5</v>
      </c>
      <c r="M32" s="17">
        <v>0.5</v>
      </c>
    </row>
    <row r="33" spans="1:19" s="76" customFormat="1" ht="21.75" thickBot="1" x14ac:dyDescent="0.4">
      <c r="A33" s="48"/>
      <c r="B33" s="48"/>
      <c r="C33" s="49"/>
      <c r="D33" s="48"/>
      <c r="E33" s="48"/>
      <c r="F33" s="49"/>
      <c r="G33" s="49"/>
      <c r="H33" s="94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</row>
    <row r="34" spans="1:19" x14ac:dyDescent="0.35">
      <c r="A34" s="46" t="s">
        <v>74</v>
      </c>
      <c r="B34" s="46" t="s">
        <v>226</v>
      </c>
      <c r="C34" s="51">
        <v>4963</v>
      </c>
      <c r="D34" s="46" t="s">
        <v>76</v>
      </c>
      <c r="E34" s="46" t="s">
        <v>150</v>
      </c>
      <c r="F34" s="19" t="s">
        <v>369</v>
      </c>
      <c r="G34" s="47">
        <v>2</v>
      </c>
      <c r="H34" s="95">
        <v>46156</v>
      </c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</row>
    <row r="35" spans="1:19" x14ac:dyDescent="0.35">
      <c r="A35" s="21"/>
      <c r="B35" s="21"/>
      <c r="C35" s="17"/>
      <c r="D35" s="21" t="s">
        <v>80</v>
      </c>
      <c r="E35" s="21" t="s">
        <v>19</v>
      </c>
      <c r="F35" s="17"/>
      <c r="G35" s="17">
        <v>2</v>
      </c>
      <c r="H35" s="93"/>
    </row>
    <row r="36" spans="1:19" x14ac:dyDescent="0.35">
      <c r="A36" s="21"/>
      <c r="B36" s="21"/>
      <c r="C36" s="17"/>
      <c r="D36" s="21" t="s">
        <v>77</v>
      </c>
      <c r="E36" s="89" t="s">
        <v>20</v>
      </c>
      <c r="F36" s="17"/>
      <c r="G36" s="17">
        <v>2</v>
      </c>
      <c r="H36" s="93"/>
    </row>
    <row r="37" spans="1:19" x14ac:dyDescent="0.35">
      <c r="A37" s="21"/>
      <c r="B37" s="21"/>
      <c r="C37" s="17"/>
      <c r="D37" s="21" t="s">
        <v>227</v>
      </c>
      <c r="E37" s="21" t="s">
        <v>228</v>
      </c>
      <c r="F37" s="17"/>
      <c r="G37" s="17">
        <v>2</v>
      </c>
      <c r="H37" s="93"/>
    </row>
    <row r="38" spans="1:19" x14ac:dyDescent="0.35">
      <c r="A38" s="21"/>
      <c r="B38" s="21"/>
      <c r="C38" s="17"/>
      <c r="D38" s="21" t="s">
        <v>123</v>
      </c>
      <c r="E38" s="21" t="s">
        <v>25</v>
      </c>
      <c r="F38" s="17"/>
      <c r="G38" s="17">
        <v>2</v>
      </c>
      <c r="H38" s="93"/>
    </row>
    <row r="39" spans="1:19" x14ac:dyDescent="0.35">
      <c r="A39" s="21"/>
      <c r="B39" s="21"/>
      <c r="C39" s="17"/>
      <c r="D39" s="21" t="s">
        <v>87</v>
      </c>
      <c r="E39" s="21" t="s">
        <v>21</v>
      </c>
      <c r="F39" s="17"/>
      <c r="G39" s="17">
        <v>2</v>
      </c>
      <c r="H39" s="93"/>
    </row>
    <row r="40" spans="1:19" x14ac:dyDescent="0.35">
      <c r="A40" s="21"/>
      <c r="B40" s="21"/>
      <c r="C40" s="17"/>
      <c r="D40" s="21" t="s">
        <v>75</v>
      </c>
      <c r="E40" s="21" t="s">
        <v>55</v>
      </c>
      <c r="F40" s="17"/>
      <c r="G40" s="17">
        <v>2</v>
      </c>
      <c r="H40" s="93"/>
    </row>
    <row r="41" spans="1:19" x14ac:dyDescent="0.35">
      <c r="A41" s="21"/>
      <c r="B41" s="21"/>
      <c r="C41" s="17"/>
      <c r="D41" s="21" t="s">
        <v>342</v>
      </c>
      <c r="E41" s="21" t="s">
        <v>343</v>
      </c>
      <c r="F41" s="17"/>
      <c r="G41" s="17">
        <v>2</v>
      </c>
      <c r="H41" s="93"/>
    </row>
    <row r="42" spans="1:19" x14ac:dyDescent="0.35">
      <c r="A42" s="21"/>
      <c r="B42" s="21"/>
      <c r="C42" s="17"/>
      <c r="D42" s="21" t="s">
        <v>94</v>
      </c>
      <c r="E42" s="21" t="s">
        <v>18</v>
      </c>
      <c r="F42" s="17"/>
      <c r="G42" s="17">
        <v>48</v>
      </c>
      <c r="H42" s="93"/>
    </row>
    <row r="43" spans="1:19" s="76" customFormat="1" ht="21.75" thickBot="1" x14ac:dyDescent="0.4">
      <c r="A43" s="48"/>
      <c r="B43" s="48"/>
      <c r="C43" s="49"/>
      <c r="D43" s="48"/>
      <c r="E43" s="48"/>
      <c r="G43" s="49"/>
      <c r="H43" s="94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</row>
    <row r="44" spans="1:19" x14ac:dyDescent="0.35">
      <c r="A44" s="46" t="s">
        <v>309</v>
      </c>
      <c r="B44" s="46" t="s">
        <v>490</v>
      </c>
      <c r="C44" s="53">
        <v>4969</v>
      </c>
      <c r="D44" s="46" t="s">
        <v>217</v>
      </c>
      <c r="E44" s="46" t="s">
        <v>218</v>
      </c>
      <c r="F44" s="19" t="s">
        <v>495</v>
      </c>
      <c r="G44" s="47">
        <v>3</v>
      </c>
      <c r="H44" s="95">
        <v>46160</v>
      </c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</row>
    <row r="45" spans="1:19" x14ac:dyDescent="0.35">
      <c r="A45" s="21"/>
      <c r="B45" s="21"/>
      <c r="C45" s="17"/>
      <c r="D45" s="21" t="s">
        <v>84</v>
      </c>
      <c r="E45" s="21" t="s">
        <v>13</v>
      </c>
      <c r="F45" s="17"/>
      <c r="G45" s="17">
        <v>3</v>
      </c>
      <c r="H45" s="93"/>
    </row>
    <row r="46" spans="1:19" x14ac:dyDescent="0.35">
      <c r="A46" s="21"/>
      <c r="B46" s="21"/>
      <c r="C46" s="17"/>
      <c r="D46" s="21" t="s">
        <v>276</v>
      </c>
      <c r="E46" s="21" t="s">
        <v>277</v>
      </c>
      <c r="F46" s="17"/>
      <c r="G46" s="17">
        <v>3</v>
      </c>
      <c r="H46" s="93"/>
      <c r="L46" s="17">
        <v>3</v>
      </c>
    </row>
    <row r="47" spans="1:19" x14ac:dyDescent="0.35">
      <c r="A47" s="21"/>
      <c r="B47" s="21"/>
      <c r="C47" s="17"/>
      <c r="D47" s="21" t="s">
        <v>456</v>
      </c>
      <c r="E47" s="21" t="s">
        <v>457</v>
      </c>
      <c r="F47" s="17"/>
      <c r="G47" s="17">
        <v>72</v>
      </c>
      <c r="H47" s="93"/>
    </row>
    <row r="48" spans="1:19" x14ac:dyDescent="0.35">
      <c r="A48" s="21"/>
      <c r="B48" s="21"/>
      <c r="C48" s="17"/>
      <c r="D48" s="21" t="s">
        <v>310</v>
      </c>
      <c r="E48" s="21" t="s">
        <v>311</v>
      </c>
      <c r="F48" s="17"/>
      <c r="G48" s="17">
        <v>3</v>
      </c>
      <c r="H48" s="93"/>
    </row>
    <row r="49" spans="1:19" x14ac:dyDescent="0.35">
      <c r="A49" s="21"/>
      <c r="B49" s="21"/>
      <c r="C49" s="17"/>
      <c r="D49" s="21" t="s">
        <v>499</v>
      </c>
      <c r="E49" s="21" t="s">
        <v>500</v>
      </c>
      <c r="F49" s="17"/>
      <c r="G49" s="17">
        <v>3</v>
      </c>
      <c r="H49" s="93"/>
    </row>
    <row r="50" spans="1:19" x14ac:dyDescent="0.35">
      <c r="A50" s="21"/>
      <c r="B50" s="21"/>
      <c r="C50" s="17"/>
      <c r="D50" s="21" t="s">
        <v>312</v>
      </c>
      <c r="E50" s="21" t="s">
        <v>313</v>
      </c>
      <c r="F50" s="17"/>
      <c r="G50" s="17">
        <v>9</v>
      </c>
      <c r="H50" s="93"/>
    </row>
    <row r="51" spans="1:19" x14ac:dyDescent="0.35">
      <c r="A51" s="21"/>
      <c r="B51" s="21"/>
      <c r="C51" s="17"/>
      <c r="D51" s="21" t="s">
        <v>210</v>
      </c>
      <c r="E51" s="21" t="s">
        <v>211</v>
      </c>
      <c r="F51" s="17"/>
      <c r="G51" s="17">
        <v>6</v>
      </c>
      <c r="H51" s="93"/>
    </row>
    <row r="52" spans="1:19" s="76" customFormat="1" ht="21.75" thickBot="1" x14ac:dyDescent="0.4">
      <c r="A52" s="48"/>
      <c r="B52" s="48"/>
      <c r="C52" s="49"/>
      <c r="D52" s="48"/>
      <c r="E52" s="48"/>
      <c r="F52" s="49"/>
      <c r="G52" s="49"/>
      <c r="H52" s="94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</row>
    <row r="53" spans="1:19" x14ac:dyDescent="0.35">
      <c r="A53" s="21" t="s">
        <v>11</v>
      </c>
      <c r="B53" s="21" t="s">
        <v>600</v>
      </c>
      <c r="C53" s="16">
        <v>4972</v>
      </c>
      <c r="D53" s="21" t="s">
        <v>603</v>
      </c>
      <c r="E53" s="21" t="s">
        <v>604</v>
      </c>
      <c r="F53" s="17"/>
      <c r="G53" s="17">
        <v>2</v>
      </c>
      <c r="H53" s="93">
        <v>46161</v>
      </c>
    </row>
    <row r="54" spans="1:19" x14ac:dyDescent="0.35">
      <c r="A54" s="21"/>
      <c r="B54" s="21"/>
      <c r="C54" s="17"/>
      <c r="D54" s="21" t="s">
        <v>605</v>
      </c>
      <c r="E54" s="21" t="s">
        <v>606</v>
      </c>
      <c r="F54" s="47" t="s">
        <v>615</v>
      </c>
      <c r="G54" s="17">
        <v>2</v>
      </c>
      <c r="H54" s="93"/>
    </row>
    <row r="55" spans="1:19" x14ac:dyDescent="0.35">
      <c r="A55" s="21"/>
      <c r="B55" s="21"/>
      <c r="C55" s="17"/>
      <c r="D55" s="21" t="s">
        <v>77</v>
      </c>
      <c r="E55" s="21" t="s">
        <v>20</v>
      </c>
      <c r="F55" s="17"/>
      <c r="G55" s="17">
        <v>2</v>
      </c>
      <c r="H55" s="93"/>
    </row>
    <row r="56" spans="1:19" x14ac:dyDescent="0.35">
      <c r="A56" s="21"/>
      <c r="B56" s="21"/>
      <c r="C56" s="17"/>
      <c r="D56" s="21"/>
      <c r="E56" s="21"/>
      <c r="F56" s="17"/>
      <c r="G56" s="17"/>
      <c r="H56" s="93"/>
    </row>
    <row r="57" spans="1:19" s="76" customFormat="1" ht="21.75" thickBot="1" x14ac:dyDescent="0.4">
      <c r="A57" s="48"/>
      <c r="B57" s="48"/>
      <c r="C57" s="49"/>
      <c r="D57" s="48"/>
      <c r="E57" s="48"/>
      <c r="F57" s="49"/>
      <c r="G57" s="49"/>
      <c r="H57" s="94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</row>
    <row r="58" spans="1:19" x14ac:dyDescent="0.35">
      <c r="A58" s="21" t="s">
        <v>74</v>
      </c>
      <c r="B58" s="21" t="s">
        <v>226</v>
      </c>
      <c r="C58" s="20">
        <v>4975</v>
      </c>
      <c r="D58" s="21" t="s">
        <v>76</v>
      </c>
      <c r="E58" s="21" t="s">
        <v>150</v>
      </c>
      <c r="F58" s="47" t="s">
        <v>484</v>
      </c>
      <c r="G58" s="17">
        <v>8</v>
      </c>
      <c r="H58" s="93">
        <v>46167</v>
      </c>
      <c r="I58" s="17">
        <v>1</v>
      </c>
      <c r="J58" s="17">
        <v>1</v>
      </c>
      <c r="L58" s="17">
        <v>1</v>
      </c>
      <c r="M58" s="17">
        <v>1</v>
      </c>
    </row>
    <row r="59" spans="1:19" x14ac:dyDescent="0.35">
      <c r="A59" s="21"/>
      <c r="B59" s="21"/>
      <c r="C59" s="17"/>
      <c r="D59" s="21" t="s">
        <v>80</v>
      </c>
      <c r="E59" s="21" t="s">
        <v>19</v>
      </c>
      <c r="F59" s="17"/>
      <c r="G59" s="17">
        <v>8</v>
      </c>
      <c r="H59" s="93"/>
      <c r="I59" s="17">
        <v>2</v>
      </c>
      <c r="J59" s="17">
        <v>2</v>
      </c>
      <c r="L59" s="17">
        <v>2</v>
      </c>
      <c r="M59" s="17">
        <v>2</v>
      </c>
    </row>
    <row r="60" spans="1:19" ht="84" x14ac:dyDescent="0.35">
      <c r="A60" s="21"/>
      <c r="B60" s="21"/>
      <c r="C60" s="17"/>
      <c r="D60" s="21" t="s">
        <v>77</v>
      </c>
      <c r="E60" s="62" t="s">
        <v>610</v>
      </c>
      <c r="F60" s="17"/>
      <c r="G60" s="17">
        <v>8</v>
      </c>
      <c r="H60" s="93"/>
    </row>
    <row r="61" spans="1:19" x14ac:dyDescent="0.35">
      <c r="A61" s="21"/>
      <c r="B61" s="21"/>
      <c r="C61" s="17"/>
      <c r="D61" s="21" t="s">
        <v>174</v>
      </c>
      <c r="E61" s="21" t="s">
        <v>175</v>
      </c>
      <c r="G61" s="17">
        <v>8</v>
      </c>
      <c r="H61" s="93"/>
    </row>
    <row r="62" spans="1:19" s="76" customFormat="1" ht="21.75" thickBot="1" x14ac:dyDescent="0.4">
      <c r="A62" s="48"/>
      <c r="B62" s="48"/>
      <c r="C62" s="49"/>
      <c r="D62" s="48"/>
      <c r="E62" s="48"/>
      <c r="F62" s="49"/>
      <c r="G62" s="49"/>
      <c r="H62" s="94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</row>
    <row r="63" spans="1:19" x14ac:dyDescent="0.35">
      <c r="A63" s="46" t="s">
        <v>611</v>
      </c>
      <c r="B63" s="46" t="s">
        <v>612</v>
      </c>
      <c r="C63" s="53">
        <v>4976</v>
      </c>
      <c r="D63" s="46" t="s">
        <v>76</v>
      </c>
      <c r="E63" s="46" t="s">
        <v>150</v>
      </c>
      <c r="F63" s="19" t="s">
        <v>484</v>
      </c>
      <c r="G63" s="19">
        <v>1</v>
      </c>
      <c r="H63" s="95">
        <v>46167</v>
      </c>
      <c r="I63" s="47"/>
      <c r="J63" s="47">
        <v>0.5</v>
      </c>
      <c r="K63" s="47"/>
      <c r="L63" s="47"/>
      <c r="M63" s="47"/>
      <c r="N63" s="47"/>
      <c r="O63" s="47"/>
      <c r="P63" s="47"/>
      <c r="Q63" s="47"/>
      <c r="R63" s="47"/>
      <c r="S63" s="47"/>
    </row>
    <row r="64" spans="1:19" x14ac:dyDescent="0.35">
      <c r="A64" s="21"/>
      <c r="B64" s="21"/>
      <c r="C64" s="17"/>
      <c r="D64" s="21" t="s">
        <v>80</v>
      </c>
      <c r="E64" s="21" t="s">
        <v>19</v>
      </c>
      <c r="F64" s="17"/>
      <c r="G64" s="17">
        <v>1</v>
      </c>
      <c r="H64" s="93"/>
      <c r="J64" s="17">
        <v>1</v>
      </c>
    </row>
    <row r="65" spans="1:27" x14ac:dyDescent="0.35">
      <c r="A65" s="21"/>
      <c r="B65" s="21"/>
      <c r="C65" s="17"/>
      <c r="D65" s="21" t="s">
        <v>77</v>
      </c>
      <c r="E65" s="21" t="s">
        <v>20</v>
      </c>
      <c r="F65" s="17"/>
      <c r="G65" s="17">
        <v>1</v>
      </c>
      <c r="H65" s="93"/>
    </row>
    <row r="66" spans="1:27" x14ac:dyDescent="0.35">
      <c r="A66" s="21"/>
      <c r="B66" s="21"/>
      <c r="C66" s="17"/>
      <c r="D66" s="21" t="s">
        <v>83</v>
      </c>
      <c r="E66" s="21" t="s">
        <v>12</v>
      </c>
      <c r="F66" s="17"/>
      <c r="G66" s="17">
        <v>1</v>
      </c>
      <c r="H66" s="93"/>
    </row>
    <row r="67" spans="1:27" x14ac:dyDescent="0.35">
      <c r="A67" s="21"/>
      <c r="B67" s="21"/>
      <c r="C67" s="17"/>
      <c r="D67" s="21" t="s">
        <v>288</v>
      </c>
      <c r="E67" s="21" t="s">
        <v>289</v>
      </c>
      <c r="F67" s="17"/>
      <c r="G67" s="17">
        <v>1</v>
      </c>
      <c r="H67" s="93"/>
    </row>
    <row r="68" spans="1:27" x14ac:dyDescent="0.35">
      <c r="A68" s="21"/>
      <c r="B68" s="19"/>
      <c r="C68" s="17"/>
      <c r="D68" s="21" t="s">
        <v>737</v>
      </c>
      <c r="E68" s="21" t="s">
        <v>738</v>
      </c>
      <c r="F68" s="17"/>
      <c r="G68" s="17">
        <v>1</v>
      </c>
      <c r="H68" s="93"/>
      <c r="J68" s="17">
        <v>1</v>
      </c>
    </row>
    <row r="69" spans="1:27" x14ac:dyDescent="0.35">
      <c r="A69" s="21"/>
      <c r="B69" s="21"/>
      <c r="C69" s="17"/>
      <c r="D69" s="21" t="s">
        <v>75</v>
      </c>
      <c r="E69" s="21" t="s">
        <v>55</v>
      </c>
      <c r="F69" s="17"/>
      <c r="G69" s="17">
        <v>1</v>
      </c>
      <c r="H69" s="93"/>
      <c r="J69" s="17">
        <v>1</v>
      </c>
    </row>
    <row r="70" spans="1:27" s="17" customFormat="1" x14ac:dyDescent="0.35">
      <c r="A70" s="21"/>
      <c r="B70" s="21"/>
      <c r="D70" s="21" t="s">
        <v>378</v>
      </c>
      <c r="E70" s="21" t="s">
        <v>379</v>
      </c>
      <c r="G70" s="17">
        <v>1</v>
      </c>
      <c r="H70" s="93"/>
      <c r="T70"/>
      <c r="U70"/>
      <c r="V70"/>
      <c r="W70"/>
      <c r="X70"/>
      <c r="Y70"/>
      <c r="Z70"/>
      <c r="AA70"/>
    </row>
    <row r="71" spans="1:27" s="17" customFormat="1" x14ac:dyDescent="0.35">
      <c r="A71" s="21"/>
      <c r="B71" s="21"/>
      <c r="D71" s="21" t="s">
        <v>107</v>
      </c>
      <c r="E71" s="21" t="s">
        <v>125</v>
      </c>
      <c r="G71" s="17">
        <v>1</v>
      </c>
      <c r="H71" s="93"/>
      <c r="J71" s="17">
        <v>1</v>
      </c>
      <c r="T71"/>
      <c r="U71"/>
      <c r="V71"/>
      <c r="W71"/>
      <c r="X71"/>
      <c r="Y71"/>
      <c r="Z71"/>
      <c r="AA71"/>
    </row>
    <row r="72" spans="1:27" s="17" customFormat="1" x14ac:dyDescent="0.35">
      <c r="A72" s="21"/>
      <c r="B72" s="21"/>
      <c r="D72" s="21" t="s">
        <v>94</v>
      </c>
      <c r="E72" s="21" t="s">
        <v>18</v>
      </c>
      <c r="G72" s="17">
        <v>24</v>
      </c>
      <c r="H72" s="93"/>
      <c r="T72"/>
      <c r="U72"/>
      <c r="V72"/>
      <c r="W72"/>
      <c r="X72"/>
      <c r="Y72"/>
      <c r="Z72"/>
      <c r="AA72"/>
    </row>
    <row r="73" spans="1:27" s="17" customFormat="1" x14ac:dyDescent="0.35">
      <c r="A73" s="21"/>
      <c r="B73" s="21"/>
      <c r="D73" s="21" t="s">
        <v>462</v>
      </c>
      <c r="E73" s="21" t="s">
        <v>463</v>
      </c>
      <c r="G73" s="17">
        <v>2</v>
      </c>
      <c r="H73" s="93"/>
      <c r="T73"/>
      <c r="U73"/>
      <c r="V73"/>
      <c r="W73"/>
      <c r="X73"/>
      <c r="Y73"/>
      <c r="Z73"/>
      <c r="AA73"/>
    </row>
    <row r="74" spans="1:27" s="17" customFormat="1" x14ac:dyDescent="0.35">
      <c r="A74" s="21"/>
      <c r="B74" s="21"/>
      <c r="D74" s="21" t="s">
        <v>613</v>
      </c>
      <c r="E74" s="21" t="s">
        <v>614</v>
      </c>
      <c r="G74" s="17">
        <v>1</v>
      </c>
      <c r="H74" s="93"/>
      <c r="T74"/>
      <c r="U74"/>
      <c r="V74"/>
      <c r="W74"/>
      <c r="X74"/>
      <c r="Y74"/>
      <c r="Z74"/>
      <c r="AA74"/>
    </row>
    <row r="75" spans="1:27" s="17" customFormat="1" x14ac:dyDescent="0.35">
      <c r="A75" s="21"/>
      <c r="B75" s="21"/>
      <c r="D75" s="21" t="s">
        <v>112</v>
      </c>
      <c r="E75" s="21" t="s">
        <v>118</v>
      </c>
      <c r="G75" s="17">
        <v>1</v>
      </c>
      <c r="H75" s="93"/>
      <c r="T75"/>
      <c r="U75"/>
      <c r="V75"/>
      <c r="W75"/>
      <c r="X75"/>
      <c r="Y75"/>
      <c r="Z75"/>
      <c r="AA75"/>
    </row>
    <row r="76" spans="1:27" s="17" customFormat="1" x14ac:dyDescent="0.35">
      <c r="A76" s="21"/>
      <c r="B76" s="21"/>
      <c r="D76" s="21" t="s">
        <v>239</v>
      </c>
      <c r="E76" s="21" t="s">
        <v>240</v>
      </c>
      <c r="G76" s="17">
        <v>2</v>
      </c>
      <c r="H76" s="93"/>
      <c r="T76"/>
      <c r="U76"/>
      <c r="V76"/>
      <c r="W76"/>
      <c r="X76"/>
      <c r="Y76"/>
      <c r="Z76"/>
      <c r="AA76"/>
    </row>
    <row r="77" spans="1:27" s="17" customFormat="1" x14ac:dyDescent="0.35">
      <c r="A77" s="21"/>
      <c r="B77" s="21"/>
      <c r="D77" s="21" t="s">
        <v>470</v>
      </c>
      <c r="E77" s="21" t="s">
        <v>471</v>
      </c>
      <c r="G77" s="17">
        <v>1</v>
      </c>
      <c r="H77" s="93"/>
      <c r="T77"/>
      <c r="U77"/>
      <c r="V77"/>
      <c r="W77"/>
      <c r="X77"/>
      <c r="Y77"/>
      <c r="Z77"/>
      <c r="AA77"/>
    </row>
    <row r="78" spans="1:27" s="17" customFormat="1" x14ac:dyDescent="0.35">
      <c r="A78" s="21"/>
      <c r="B78" s="21"/>
      <c r="D78" s="21" t="s">
        <v>365</v>
      </c>
      <c r="E78" s="21" t="s">
        <v>366</v>
      </c>
      <c r="G78" s="17">
        <v>1</v>
      </c>
      <c r="H78" s="93"/>
      <c r="T78"/>
      <c r="U78"/>
      <c r="V78"/>
      <c r="W78"/>
      <c r="X78"/>
      <c r="Y78"/>
      <c r="Z78"/>
      <c r="AA78"/>
    </row>
    <row r="79" spans="1:27" s="17" customFormat="1" x14ac:dyDescent="0.35">
      <c r="A79" s="21"/>
      <c r="B79" s="21"/>
      <c r="D79" s="21" t="s">
        <v>157</v>
      </c>
      <c r="E79" s="21" t="s">
        <v>158</v>
      </c>
      <c r="G79" s="17">
        <v>2</v>
      </c>
      <c r="H79" s="93"/>
      <c r="T79"/>
      <c r="U79"/>
      <c r="V79"/>
      <c r="W79"/>
      <c r="X79"/>
      <c r="Y79"/>
      <c r="Z79"/>
      <c r="AA79"/>
    </row>
    <row r="80" spans="1:27" s="49" customFormat="1" ht="21.75" thickBot="1" x14ac:dyDescent="0.4">
      <c r="A80" s="48"/>
      <c r="B80" s="48"/>
      <c r="D80" s="48"/>
      <c r="E80" s="48"/>
      <c r="H80" s="94"/>
      <c r="T80" s="76"/>
      <c r="U80" s="76"/>
      <c r="V80" s="76"/>
      <c r="W80" s="76"/>
      <c r="X80" s="76"/>
      <c r="Y80" s="76"/>
      <c r="Z80" s="76"/>
      <c r="AA80" s="76"/>
    </row>
    <row r="81" spans="1:27" s="47" customFormat="1" x14ac:dyDescent="0.35">
      <c r="A81" s="46" t="s">
        <v>11</v>
      </c>
      <c r="B81" s="46" t="s">
        <v>163</v>
      </c>
      <c r="C81" s="51">
        <v>4977</v>
      </c>
      <c r="D81" s="46" t="s">
        <v>603</v>
      </c>
      <c r="E81" s="46" t="s">
        <v>604</v>
      </c>
      <c r="F81" s="47" t="s">
        <v>615</v>
      </c>
      <c r="G81" s="47">
        <v>3</v>
      </c>
      <c r="H81" s="95">
        <v>46167</v>
      </c>
      <c r="T81"/>
      <c r="U81"/>
      <c r="V81"/>
      <c r="W81"/>
      <c r="X81"/>
      <c r="Y81"/>
      <c r="Z81"/>
      <c r="AA81"/>
    </row>
    <row r="82" spans="1:27" s="17" customFormat="1" x14ac:dyDescent="0.35">
      <c r="A82" s="21"/>
      <c r="B82" s="21"/>
      <c r="D82" s="21" t="s">
        <v>605</v>
      </c>
      <c r="E82" s="21" t="s">
        <v>606</v>
      </c>
      <c r="G82" s="17">
        <v>3</v>
      </c>
      <c r="H82" s="93"/>
      <c r="T82"/>
      <c r="U82"/>
      <c r="V82"/>
      <c r="W82"/>
      <c r="X82"/>
      <c r="Y82"/>
      <c r="Z82"/>
      <c r="AA82"/>
    </row>
    <row r="83" spans="1:27" s="17" customFormat="1" x14ac:dyDescent="0.35">
      <c r="A83" s="21"/>
      <c r="B83" s="21"/>
      <c r="D83" s="21" t="s">
        <v>77</v>
      </c>
      <c r="E83" s="21" t="s">
        <v>20</v>
      </c>
      <c r="G83" s="17">
        <v>3</v>
      </c>
      <c r="H83" s="93"/>
      <c r="T83"/>
      <c r="U83"/>
      <c r="V83"/>
      <c r="W83"/>
      <c r="X83"/>
      <c r="Y83"/>
      <c r="Z83"/>
      <c r="AA83"/>
    </row>
    <row r="84" spans="1:27" s="49" customFormat="1" ht="21.75" thickBot="1" x14ac:dyDescent="0.4">
      <c r="A84" s="48"/>
      <c r="B84" s="48"/>
      <c r="D84" s="48"/>
      <c r="E84" s="48"/>
      <c r="H84" s="94"/>
      <c r="T84" s="76"/>
      <c r="U84" s="76"/>
      <c r="V84" s="76"/>
      <c r="W84" s="76"/>
      <c r="X84" s="76"/>
      <c r="Y84" s="76"/>
      <c r="Z84" s="76"/>
      <c r="AA84" s="76"/>
    </row>
    <row r="85" spans="1:27" s="47" customFormat="1" x14ac:dyDescent="0.35">
      <c r="A85" s="46" t="s">
        <v>11</v>
      </c>
      <c r="B85" s="46" t="s">
        <v>163</v>
      </c>
      <c r="C85" s="51">
        <v>4978</v>
      </c>
      <c r="D85" s="46" t="s">
        <v>603</v>
      </c>
      <c r="E85" s="46" t="s">
        <v>604</v>
      </c>
      <c r="F85" s="47" t="s">
        <v>615</v>
      </c>
      <c r="G85" s="47">
        <v>1</v>
      </c>
      <c r="H85" s="95">
        <v>46167</v>
      </c>
      <c r="T85"/>
      <c r="U85"/>
      <c r="V85"/>
      <c r="W85"/>
      <c r="X85"/>
      <c r="Y85"/>
      <c r="Z85"/>
      <c r="AA85"/>
    </row>
    <row r="86" spans="1:27" s="17" customFormat="1" x14ac:dyDescent="0.35">
      <c r="A86" s="21"/>
      <c r="B86" s="21"/>
      <c r="D86" s="21" t="s">
        <v>605</v>
      </c>
      <c r="E86" s="21" t="s">
        <v>606</v>
      </c>
      <c r="G86" s="17">
        <v>1</v>
      </c>
      <c r="H86" s="93"/>
      <c r="T86"/>
      <c r="U86"/>
      <c r="V86"/>
      <c r="W86"/>
      <c r="X86"/>
      <c r="Y86"/>
      <c r="Z86"/>
      <c r="AA86"/>
    </row>
    <row r="87" spans="1:27" s="17" customFormat="1" x14ac:dyDescent="0.35">
      <c r="A87" s="21"/>
      <c r="B87" s="21"/>
      <c r="D87" s="21" t="s">
        <v>77</v>
      </c>
      <c r="E87" s="21" t="s">
        <v>20</v>
      </c>
      <c r="G87" s="17">
        <v>1</v>
      </c>
      <c r="H87" s="93"/>
      <c r="T87"/>
      <c r="U87"/>
      <c r="V87"/>
      <c r="W87"/>
      <c r="X87"/>
      <c r="Y87"/>
      <c r="Z87"/>
      <c r="AA87"/>
    </row>
    <row r="88" spans="1:27" s="49" customFormat="1" ht="21.75" thickBot="1" x14ac:dyDescent="0.4">
      <c r="A88" s="48"/>
      <c r="B88" s="48"/>
      <c r="D88" s="48"/>
      <c r="E88" s="48"/>
      <c r="H88" s="94"/>
      <c r="T88" s="76"/>
      <c r="U88" s="76"/>
      <c r="V88" s="76"/>
      <c r="W88" s="76"/>
      <c r="X88" s="76"/>
      <c r="Y88" s="76"/>
      <c r="Z88" s="76"/>
      <c r="AA88" s="76"/>
    </row>
    <row r="89" spans="1:27" s="47" customFormat="1" x14ac:dyDescent="0.35">
      <c r="A89" s="46" t="s">
        <v>74</v>
      </c>
      <c r="B89" s="46" t="s">
        <v>226</v>
      </c>
      <c r="C89" s="53">
        <v>4979</v>
      </c>
      <c r="D89" s="46" t="s">
        <v>76</v>
      </c>
      <c r="E89" s="46" t="s">
        <v>150</v>
      </c>
      <c r="F89" s="47" t="s">
        <v>303</v>
      </c>
      <c r="G89" s="47">
        <v>1</v>
      </c>
      <c r="H89" s="95">
        <v>46167</v>
      </c>
      <c r="L89" s="47">
        <v>0.5</v>
      </c>
      <c r="T89"/>
      <c r="U89"/>
      <c r="V89"/>
      <c r="W89"/>
      <c r="X89"/>
      <c r="Y89"/>
      <c r="Z89"/>
      <c r="AA89"/>
    </row>
    <row r="90" spans="1:27" s="17" customFormat="1" x14ac:dyDescent="0.35">
      <c r="A90" s="21"/>
      <c r="B90" s="21"/>
      <c r="D90" s="21" t="s">
        <v>227</v>
      </c>
      <c r="E90" s="21" t="s">
        <v>228</v>
      </c>
      <c r="G90" s="17">
        <v>1</v>
      </c>
      <c r="H90" s="93"/>
      <c r="T90"/>
      <c r="U90"/>
      <c r="V90"/>
      <c r="W90"/>
      <c r="X90"/>
      <c r="Y90"/>
      <c r="Z90"/>
      <c r="AA90"/>
    </row>
    <row r="91" spans="1:27" s="17" customFormat="1" ht="63" x14ac:dyDescent="0.35">
      <c r="A91" s="21"/>
      <c r="B91" s="21"/>
      <c r="D91" s="21"/>
      <c r="E91" s="62" t="s">
        <v>616</v>
      </c>
      <c r="G91" s="17">
        <v>1</v>
      </c>
      <c r="H91" s="93"/>
      <c r="T91"/>
      <c r="U91"/>
      <c r="V91"/>
      <c r="W91"/>
      <c r="X91"/>
      <c r="Y91"/>
      <c r="Z91"/>
      <c r="AA91"/>
    </row>
    <row r="92" spans="1:27" s="49" customFormat="1" ht="21.75" thickBot="1" x14ac:dyDescent="0.4">
      <c r="A92" s="48"/>
      <c r="B92" s="48"/>
      <c r="D92" s="48"/>
      <c r="E92" s="48"/>
      <c r="H92" s="94"/>
      <c r="T92" s="76"/>
      <c r="U92" s="76"/>
      <c r="V92" s="76"/>
      <c r="W92" s="76"/>
      <c r="X92" s="76"/>
      <c r="Y92" s="76"/>
      <c r="Z92" s="76"/>
      <c r="AA92" s="76"/>
    </row>
    <row r="93" spans="1:27" s="47" customFormat="1" x14ac:dyDescent="0.35">
      <c r="A93" s="46" t="s">
        <v>74</v>
      </c>
      <c r="B93" s="46" t="s">
        <v>226</v>
      </c>
      <c r="C93" s="54">
        <v>4980</v>
      </c>
      <c r="D93" s="46" t="s">
        <v>76</v>
      </c>
      <c r="E93" s="46" t="s">
        <v>150</v>
      </c>
      <c r="F93" s="47" t="s">
        <v>314</v>
      </c>
      <c r="G93" s="47">
        <v>1</v>
      </c>
      <c r="H93" s="95" t="s">
        <v>617</v>
      </c>
      <c r="L93" s="47">
        <v>0.25</v>
      </c>
      <c r="M93" s="47">
        <v>0.25</v>
      </c>
      <c r="T93"/>
      <c r="U93"/>
      <c r="V93"/>
      <c r="W93"/>
      <c r="X93"/>
      <c r="Y93"/>
      <c r="Z93"/>
      <c r="AA93"/>
    </row>
    <row r="94" spans="1:27" s="17" customFormat="1" x14ac:dyDescent="0.35">
      <c r="A94" s="21"/>
      <c r="B94" s="21"/>
      <c r="D94" s="21" t="s">
        <v>106</v>
      </c>
      <c r="E94" s="21" t="s">
        <v>69</v>
      </c>
      <c r="G94" s="17">
        <v>1</v>
      </c>
      <c r="H94" s="93"/>
      <c r="L94" s="17">
        <v>0.5</v>
      </c>
      <c r="M94" s="17">
        <v>0.5</v>
      </c>
      <c r="T94"/>
      <c r="U94"/>
      <c r="V94"/>
      <c r="W94"/>
      <c r="X94"/>
      <c r="Y94"/>
      <c r="Z94"/>
      <c r="AA94"/>
    </row>
    <row r="95" spans="1:27" s="17" customFormat="1" x14ac:dyDescent="0.35">
      <c r="A95" s="21"/>
      <c r="B95" s="21"/>
      <c r="D95" s="21" t="s">
        <v>77</v>
      </c>
      <c r="E95" s="21" t="s">
        <v>20</v>
      </c>
      <c r="G95" s="17">
        <v>1</v>
      </c>
      <c r="H95" s="93"/>
      <c r="T95"/>
      <c r="U95"/>
      <c r="V95"/>
      <c r="W95"/>
      <c r="X95"/>
      <c r="Y95"/>
      <c r="Z95"/>
      <c r="AA95"/>
    </row>
    <row r="96" spans="1:27" s="17" customFormat="1" x14ac:dyDescent="0.35">
      <c r="A96" s="21"/>
      <c r="B96" s="21"/>
      <c r="D96" s="21" t="s">
        <v>227</v>
      </c>
      <c r="E96" s="21" t="s">
        <v>228</v>
      </c>
      <c r="G96" s="17">
        <v>1</v>
      </c>
      <c r="H96" s="93"/>
      <c r="L96" s="17">
        <v>0.5</v>
      </c>
      <c r="M96" s="17">
        <v>0.5</v>
      </c>
      <c r="T96"/>
      <c r="U96"/>
      <c r="V96"/>
      <c r="W96"/>
      <c r="X96"/>
      <c r="Y96"/>
      <c r="Z96"/>
      <c r="AA96"/>
    </row>
    <row r="97" spans="1:27" s="17" customFormat="1" x14ac:dyDescent="0.35">
      <c r="A97" s="21"/>
      <c r="B97" s="21"/>
      <c r="D97" s="21" t="s">
        <v>87</v>
      </c>
      <c r="E97" s="21" t="s">
        <v>21</v>
      </c>
      <c r="G97" s="17">
        <v>1</v>
      </c>
      <c r="H97" s="93"/>
      <c r="L97" s="17">
        <v>0.5</v>
      </c>
      <c r="M97" s="17">
        <v>0.5</v>
      </c>
      <c r="T97"/>
      <c r="U97"/>
      <c r="V97"/>
      <c r="W97"/>
      <c r="X97"/>
      <c r="Y97"/>
      <c r="Z97"/>
      <c r="AA97"/>
    </row>
    <row r="98" spans="1:27" s="17" customFormat="1" x14ac:dyDescent="0.35">
      <c r="A98" s="21"/>
      <c r="B98" s="21"/>
      <c r="D98" s="21" t="s">
        <v>123</v>
      </c>
      <c r="E98" s="21" t="s">
        <v>25</v>
      </c>
      <c r="G98" s="17">
        <v>1</v>
      </c>
      <c r="H98" s="93"/>
      <c r="L98" s="17">
        <v>0.5</v>
      </c>
      <c r="M98" s="17">
        <v>0.5</v>
      </c>
      <c r="T98"/>
      <c r="U98"/>
      <c r="V98"/>
      <c r="W98"/>
      <c r="X98"/>
      <c r="Y98"/>
      <c r="Z98"/>
      <c r="AA98"/>
    </row>
    <row r="99" spans="1:27" s="17" customFormat="1" x14ac:dyDescent="0.35">
      <c r="A99" s="21"/>
      <c r="B99" s="21"/>
      <c r="D99" s="21" t="s">
        <v>79</v>
      </c>
      <c r="E99" s="21" t="s">
        <v>73</v>
      </c>
      <c r="G99" s="17">
        <v>1</v>
      </c>
      <c r="H99" s="93"/>
      <c r="L99" s="17">
        <v>0.5</v>
      </c>
      <c r="M99" s="17">
        <v>0.5</v>
      </c>
      <c r="T99"/>
      <c r="U99"/>
      <c r="V99"/>
      <c r="W99"/>
      <c r="X99"/>
      <c r="Y99"/>
      <c r="Z99"/>
      <c r="AA99"/>
    </row>
    <row r="100" spans="1:27" s="17" customFormat="1" x14ac:dyDescent="0.35">
      <c r="A100" s="21"/>
      <c r="B100" s="21"/>
      <c r="D100" s="21" t="s">
        <v>75</v>
      </c>
      <c r="E100" s="21" t="s">
        <v>55</v>
      </c>
      <c r="G100" s="17">
        <v>1</v>
      </c>
      <c r="H100" s="93"/>
      <c r="L100" s="17">
        <v>0.5</v>
      </c>
      <c r="M100" s="17">
        <v>0.5</v>
      </c>
      <c r="T100"/>
      <c r="U100"/>
      <c r="V100"/>
      <c r="W100"/>
      <c r="X100"/>
      <c r="Y100"/>
      <c r="Z100"/>
      <c r="AA100"/>
    </row>
    <row r="101" spans="1:27" s="17" customFormat="1" x14ac:dyDescent="0.35">
      <c r="A101" s="21"/>
      <c r="B101" s="21"/>
      <c r="D101" s="21" t="s">
        <v>81</v>
      </c>
      <c r="E101" s="21" t="s">
        <v>15</v>
      </c>
      <c r="G101" s="17">
        <v>1</v>
      </c>
      <c r="H101" s="93"/>
      <c r="L101" s="17">
        <v>0.5</v>
      </c>
      <c r="M101" s="17">
        <v>0.5</v>
      </c>
      <c r="T101"/>
      <c r="U101"/>
      <c r="V101"/>
      <c r="W101"/>
      <c r="X101"/>
      <c r="Y101"/>
      <c r="Z101"/>
      <c r="AA101"/>
    </row>
    <row r="102" spans="1:27" s="17" customFormat="1" x14ac:dyDescent="0.35">
      <c r="A102" s="21"/>
      <c r="B102" s="21"/>
      <c r="D102" s="21" t="s">
        <v>96</v>
      </c>
      <c r="E102" s="21" t="s">
        <v>139</v>
      </c>
      <c r="G102" s="17">
        <v>24</v>
      </c>
      <c r="H102" s="93"/>
      <c r="L102" s="17">
        <v>0.5</v>
      </c>
      <c r="M102" s="17">
        <v>0.5</v>
      </c>
      <c r="T102"/>
      <c r="U102"/>
      <c r="V102"/>
      <c r="W102"/>
      <c r="X102"/>
      <c r="Y102"/>
      <c r="Z102"/>
      <c r="AA102"/>
    </row>
    <row r="103" spans="1:27" s="49" customFormat="1" ht="21.75" thickBot="1" x14ac:dyDescent="0.4">
      <c r="A103" s="48"/>
      <c r="B103" s="48"/>
      <c r="D103" s="48"/>
      <c r="E103" s="48"/>
      <c r="H103" s="94"/>
      <c r="T103" s="76"/>
      <c r="U103" s="76"/>
      <c r="V103" s="76"/>
      <c r="W103" s="76"/>
      <c r="X103" s="76"/>
      <c r="Y103" s="76"/>
      <c r="Z103" s="76"/>
      <c r="AA103" s="76"/>
    </row>
    <row r="104" spans="1:27" s="47" customFormat="1" x14ac:dyDescent="0.35">
      <c r="A104" s="46" t="s">
        <v>11</v>
      </c>
      <c r="B104" s="46" t="s">
        <v>163</v>
      </c>
      <c r="C104" s="54">
        <v>4981</v>
      </c>
      <c r="D104" s="46" t="s">
        <v>97</v>
      </c>
      <c r="E104" s="46" t="s">
        <v>24</v>
      </c>
      <c r="F104" s="47" t="s">
        <v>303</v>
      </c>
      <c r="G104" s="47">
        <v>2</v>
      </c>
      <c r="H104" s="95" t="s">
        <v>618</v>
      </c>
      <c r="K104" s="47">
        <v>1</v>
      </c>
      <c r="N104" s="47">
        <v>1</v>
      </c>
      <c r="T104"/>
      <c r="U104"/>
      <c r="V104"/>
      <c r="W104"/>
      <c r="X104"/>
      <c r="Y104"/>
      <c r="Z104"/>
      <c r="AA104"/>
    </row>
    <row r="105" spans="1:27" s="17" customFormat="1" x14ac:dyDescent="0.35">
      <c r="A105" s="21"/>
      <c r="B105" s="21"/>
      <c r="D105" s="21" t="s">
        <v>93</v>
      </c>
      <c r="E105" s="21" t="s">
        <v>14</v>
      </c>
      <c r="G105" s="17">
        <v>2</v>
      </c>
      <c r="H105" s="93"/>
      <c r="K105" s="17">
        <v>1</v>
      </c>
      <c r="N105" s="17">
        <v>1</v>
      </c>
      <c r="T105"/>
      <c r="U105"/>
      <c r="V105"/>
      <c r="W105"/>
      <c r="X105"/>
      <c r="Y105"/>
      <c r="Z105"/>
      <c r="AA105"/>
    </row>
    <row r="106" spans="1:27" s="17" customFormat="1" x14ac:dyDescent="0.35">
      <c r="A106" s="21"/>
      <c r="B106" s="21"/>
      <c r="D106" s="21" t="s">
        <v>353</v>
      </c>
      <c r="E106" s="21" t="s">
        <v>354</v>
      </c>
      <c r="G106" s="17">
        <v>2</v>
      </c>
      <c r="H106" s="93"/>
      <c r="K106" s="17">
        <v>1</v>
      </c>
      <c r="N106" s="17">
        <v>1</v>
      </c>
      <c r="T106"/>
      <c r="U106"/>
      <c r="V106"/>
      <c r="W106"/>
      <c r="X106"/>
      <c r="Y106"/>
      <c r="Z106"/>
      <c r="AA106"/>
    </row>
    <row r="107" spans="1:27" s="17" customFormat="1" x14ac:dyDescent="0.35">
      <c r="A107" s="21"/>
      <c r="B107" s="21"/>
      <c r="D107" s="21" t="s">
        <v>124</v>
      </c>
      <c r="E107" s="21" t="s">
        <v>60</v>
      </c>
      <c r="G107" s="17">
        <v>2</v>
      </c>
      <c r="H107" s="93"/>
      <c r="T107"/>
      <c r="U107"/>
      <c r="V107"/>
      <c r="W107"/>
      <c r="X107"/>
      <c r="Y107"/>
      <c r="Z107"/>
      <c r="AA107"/>
    </row>
    <row r="108" spans="1:27" s="17" customFormat="1" x14ac:dyDescent="0.35">
      <c r="A108" s="21"/>
      <c r="B108" s="21"/>
      <c r="D108" s="21" t="s">
        <v>107</v>
      </c>
      <c r="E108" s="21" t="s">
        <v>619</v>
      </c>
      <c r="G108" s="17">
        <v>2</v>
      </c>
      <c r="H108" s="93"/>
      <c r="K108" s="17">
        <v>1</v>
      </c>
      <c r="N108" s="17">
        <v>1</v>
      </c>
      <c r="T108"/>
      <c r="U108"/>
      <c r="V108"/>
      <c r="W108"/>
      <c r="X108"/>
      <c r="Y108"/>
      <c r="Z108"/>
      <c r="AA108"/>
    </row>
    <row r="109" spans="1:27" s="17" customFormat="1" x14ac:dyDescent="0.35">
      <c r="A109" s="21"/>
      <c r="B109" s="21"/>
      <c r="D109" s="21" t="s">
        <v>620</v>
      </c>
      <c r="E109" s="21" t="s">
        <v>621</v>
      </c>
      <c r="G109" s="17">
        <v>6</v>
      </c>
      <c r="H109" s="93"/>
      <c r="T109"/>
      <c r="U109"/>
      <c r="V109"/>
      <c r="W109"/>
      <c r="X109"/>
      <c r="Y109"/>
      <c r="Z109"/>
      <c r="AA109"/>
    </row>
    <row r="110" spans="1:27" s="17" customFormat="1" x14ac:dyDescent="0.35">
      <c r="A110" s="21"/>
      <c r="B110" s="21"/>
      <c r="D110" s="21" t="s">
        <v>372</v>
      </c>
      <c r="E110" s="21" t="s">
        <v>373</v>
      </c>
      <c r="G110" s="17">
        <v>2</v>
      </c>
      <c r="H110" s="93"/>
      <c r="T110"/>
      <c r="U110"/>
      <c r="V110"/>
      <c r="W110"/>
      <c r="X110"/>
      <c r="Y110"/>
      <c r="Z110"/>
      <c r="AA110"/>
    </row>
    <row r="111" spans="1:27" s="17" customFormat="1" x14ac:dyDescent="0.35">
      <c r="A111" s="21"/>
      <c r="B111" s="21"/>
      <c r="D111" s="21" t="s">
        <v>82</v>
      </c>
      <c r="E111" s="21" t="s">
        <v>26</v>
      </c>
      <c r="G111" s="17">
        <v>2</v>
      </c>
      <c r="H111" s="93"/>
      <c r="T111"/>
      <c r="U111"/>
      <c r="V111"/>
      <c r="W111"/>
      <c r="X111"/>
      <c r="Y111"/>
      <c r="Z111"/>
      <c r="AA111"/>
    </row>
    <row r="112" spans="1:27" s="17" customFormat="1" x14ac:dyDescent="0.35">
      <c r="A112" s="21"/>
      <c r="B112" s="21"/>
      <c r="D112" s="21" t="s">
        <v>470</v>
      </c>
      <c r="E112" s="21" t="s">
        <v>471</v>
      </c>
      <c r="G112" s="17">
        <v>2</v>
      </c>
      <c r="H112" s="93"/>
      <c r="T112"/>
      <c r="U112"/>
      <c r="V112"/>
      <c r="W112"/>
      <c r="X112"/>
      <c r="Y112"/>
      <c r="Z112"/>
      <c r="AA112"/>
    </row>
    <row r="113" spans="1:27" s="49" customFormat="1" ht="21.75" thickBot="1" x14ac:dyDescent="0.4">
      <c r="A113" s="48"/>
      <c r="B113" s="48"/>
      <c r="D113" s="48"/>
      <c r="E113" s="48"/>
      <c r="H113" s="94"/>
      <c r="T113" s="76"/>
      <c r="U113" s="76"/>
      <c r="V113" s="76"/>
      <c r="W113" s="76"/>
      <c r="X113" s="76"/>
      <c r="Y113" s="76"/>
      <c r="Z113" s="76"/>
      <c r="AA113" s="76"/>
    </row>
    <row r="114" spans="1:27" s="47" customFormat="1" x14ac:dyDescent="0.35">
      <c r="A114" s="46" t="s">
        <v>136</v>
      </c>
      <c r="B114" s="46" t="s">
        <v>223</v>
      </c>
      <c r="C114" s="53">
        <v>4982</v>
      </c>
      <c r="D114" s="46" t="s">
        <v>76</v>
      </c>
      <c r="E114" s="46" t="s">
        <v>150</v>
      </c>
      <c r="F114" s="47" t="s">
        <v>622</v>
      </c>
      <c r="G114" s="47">
        <v>8</v>
      </c>
      <c r="H114" s="95">
        <v>46169</v>
      </c>
      <c r="I114" s="47">
        <v>1.33</v>
      </c>
      <c r="J114" s="47">
        <v>1.33</v>
      </c>
      <c r="M114" s="47">
        <v>1.33</v>
      </c>
      <c r="T114"/>
      <c r="U114"/>
      <c r="V114"/>
      <c r="W114"/>
      <c r="X114"/>
      <c r="Y114"/>
      <c r="Z114"/>
      <c r="AA114"/>
    </row>
    <row r="115" spans="1:27" s="17" customFormat="1" x14ac:dyDescent="0.35">
      <c r="A115" s="21"/>
      <c r="B115" s="21"/>
      <c r="D115" s="21" t="s">
        <v>106</v>
      </c>
      <c r="E115" s="21" t="s">
        <v>69</v>
      </c>
      <c r="G115" s="17">
        <v>8</v>
      </c>
      <c r="H115" s="93"/>
      <c r="I115" s="17">
        <v>2.66</v>
      </c>
      <c r="J115" s="17">
        <v>2.66</v>
      </c>
      <c r="M115" s="17">
        <v>2.66</v>
      </c>
      <c r="T115"/>
      <c r="U115"/>
      <c r="V115"/>
      <c r="W115"/>
      <c r="X115"/>
      <c r="Y115"/>
      <c r="Z115"/>
      <c r="AA115"/>
    </row>
    <row r="116" spans="1:27" s="17" customFormat="1" x14ac:dyDescent="0.35">
      <c r="A116" s="21"/>
      <c r="B116" s="21"/>
      <c r="D116" s="21" t="s">
        <v>77</v>
      </c>
      <c r="E116" s="21" t="s">
        <v>20</v>
      </c>
      <c r="G116" s="17">
        <v>8</v>
      </c>
      <c r="H116" s="93"/>
      <c r="T116"/>
      <c r="U116"/>
      <c r="V116"/>
      <c r="W116"/>
      <c r="X116"/>
      <c r="Y116"/>
      <c r="Z116"/>
      <c r="AA116"/>
    </row>
    <row r="117" spans="1:27" s="17" customFormat="1" x14ac:dyDescent="0.35">
      <c r="A117" s="21"/>
      <c r="B117" s="21"/>
      <c r="D117" s="21" t="s">
        <v>93</v>
      </c>
      <c r="E117" s="21" t="s">
        <v>14</v>
      </c>
      <c r="G117" s="17">
        <v>8</v>
      </c>
      <c r="H117" s="93"/>
      <c r="I117" s="17">
        <v>2.66</v>
      </c>
      <c r="J117" s="17">
        <v>2.66</v>
      </c>
      <c r="M117" s="17">
        <v>2.66</v>
      </c>
      <c r="T117"/>
      <c r="U117"/>
      <c r="V117"/>
      <c r="W117"/>
      <c r="X117"/>
      <c r="Y117"/>
      <c r="Z117"/>
      <c r="AA117"/>
    </row>
    <row r="118" spans="1:27" s="17" customFormat="1" x14ac:dyDescent="0.35">
      <c r="A118" s="21"/>
      <c r="B118" s="21"/>
      <c r="D118" s="21" t="s">
        <v>246</v>
      </c>
      <c r="E118" s="21" t="s">
        <v>247</v>
      </c>
      <c r="G118" s="17">
        <v>8</v>
      </c>
      <c r="H118" s="93"/>
      <c r="I118" s="17">
        <v>16</v>
      </c>
      <c r="J118" s="17">
        <v>2.66</v>
      </c>
      <c r="M118" s="17">
        <v>2.66</v>
      </c>
      <c r="T118"/>
      <c r="U118"/>
      <c r="V118"/>
      <c r="W118"/>
      <c r="X118"/>
      <c r="Y118"/>
      <c r="Z118"/>
      <c r="AA118"/>
    </row>
    <row r="119" spans="1:27" s="17" customFormat="1" x14ac:dyDescent="0.35">
      <c r="A119" s="21"/>
      <c r="B119" s="21"/>
      <c r="D119" s="21" t="s">
        <v>75</v>
      </c>
      <c r="E119" s="21" t="s">
        <v>55</v>
      </c>
      <c r="G119" s="17">
        <v>8</v>
      </c>
      <c r="H119" s="93"/>
      <c r="I119" s="17">
        <v>16</v>
      </c>
      <c r="J119" s="17">
        <v>2.66</v>
      </c>
      <c r="M119" s="17">
        <v>2.66</v>
      </c>
      <c r="T119"/>
      <c r="U119"/>
      <c r="V119"/>
      <c r="W119"/>
      <c r="X119"/>
      <c r="Y119"/>
      <c r="Z119"/>
      <c r="AA119"/>
    </row>
    <row r="120" spans="1:27" s="17" customFormat="1" x14ac:dyDescent="0.35">
      <c r="A120" s="21"/>
      <c r="B120" s="21"/>
      <c r="D120" s="21" t="s">
        <v>96</v>
      </c>
      <c r="E120" s="21" t="s">
        <v>139</v>
      </c>
      <c r="G120" s="17">
        <v>192</v>
      </c>
      <c r="H120" s="93"/>
      <c r="T120"/>
      <c r="U120"/>
      <c r="V120"/>
      <c r="W120"/>
      <c r="X120"/>
      <c r="Y120"/>
      <c r="Z120"/>
      <c r="AA120"/>
    </row>
    <row r="121" spans="1:27" s="49" customFormat="1" ht="21.75" thickBot="1" x14ac:dyDescent="0.4">
      <c r="A121" s="48"/>
      <c r="B121" s="48"/>
      <c r="D121" s="48"/>
      <c r="E121" s="48"/>
      <c r="H121" s="94"/>
      <c r="T121" s="76"/>
      <c r="U121" s="76"/>
      <c r="V121" s="76"/>
      <c r="W121" s="76"/>
      <c r="X121" s="76"/>
      <c r="Y121" s="76"/>
      <c r="Z121" s="76"/>
      <c r="AA121" s="76"/>
    </row>
    <row r="122" spans="1:27" s="47" customFormat="1" x14ac:dyDescent="0.35">
      <c r="A122" s="46" t="s">
        <v>74</v>
      </c>
      <c r="B122" s="46" t="s">
        <v>226</v>
      </c>
      <c r="C122" s="53">
        <v>4983</v>
      </c>
      <c r="D122" s="46" t="s">
        <v>76</v>
      </c>
      <c r="E122" s="46" t="s">
        <v>150</v>
      </c>
      <c r="F122" s="47" t="s">
        <v>376</v>
      </c>
      <c r="G122" s="47">
        <v>1</v>
      </c>
      <c r="H122" s="95">
        <v>46169</v>
      </c>
      <c r="J122" s="47">
        <v>0.5</v>
      </c>
      <c r="T122"/>
      <c r="U122"/>
      <c r="V122"/>
      <c r="W122"/>
      <c r="X122"/>
      <c r="Y122"/>
      <c r="Z122"/>
      <c r="AA122"/>
    </row>
    <row r="123" spans="1:27" s="17" customFormat="1" x14ac:dyDescent="0.35">
      <c r="A123" s="21"/>
      <c r="B123" s="21"/>
      <c r="D123" s="21" t="s">
        <v>106</v>
      </c>
      <c r="E123" s="21" t="s">
        <v>69</v>
      </c>
      <c r="G123" s="17">
        <v>1</v>
      </c>
      <c r="H123" s="93"/>
      <c r="J123" s="17">
        <v>1</v>
      </c>
      <c r="T123"/>
      <c r="U123"/>
      <c r="V123"/>
      <c r="W123"/>
      <c r="X123"/>
      <c r="Y123"/>
      <c r="Z123"/>
      <c r="AA123"/>
    </row>
    <row r="124" spans="1:27" s="17" customFormat="1" x14ac:dyDescent="0.35">
      <c r="A124" s="21"/>
      <c r="B124" s="21"/>
      <c r="D124" s="21" t="s">
        <v>77</v>
      </c>
      <c r="E124" s="21" t="s">
        <v>20</v>
      </c>
      <c r="G124" s="17">
        <v>1</v>
      </c>
      <c r="H124" s="93"/>
      <c r="T124"/>
      <c r="U124"/>
      <c r="V124"/>
      <c r="W124"/>
      <c r="X124"/>
      <c r="Y124"/>
      <c r="Z124"/>
      <c r="AA124"/>
    </row>
    <row r="125" spans="1:27" s="17" customFormat="1" x14ac:dyDescent="0.35">
      <c r="A125" s="21"/>
      <c r="B125" s="21"/>
      <c r="D125" s="21" t="s">
        <v>78</v>
      </c>
      <c r="E125" s="21" t="s">
        <v>16</v>
      </c>
      <c r="G125" s="17">
        <v>1</v>
      </c>
      <c r="H125" s="93"/>
      <c r="T125"/>
      <c r="U125"/>
      <c r="V125"/>
      <c r="W125"/>
      <c r="X125"/>
      <c r="Y125"/>
      <c r="Z125"/>
      <c r="AA125"/>
    </row>
    <row r="126" spans="1:27" s="17" customFormat="1" x14ac:dyDescent="0.35">
      <c r="A126" s="21"/>
      <c r="B126" s="21"/>
      <c r="D126" s="21" t="s">
        <v>83</v>
      </c>
      <c r="E126" s="21" t="s">
        <v>623</v>
      </c>
      <c r="G126" s="17">
        <v>1</v>
      </c>
      <c r="H126" s="93"/>
      <c r="T126"/>
      <c r="U126"/>
      <c r="V126"/>
      <c r="W126"/>
      <c r="X126"/>
      <c r="Y126"/>
      <c r="Z126"/>
      <c r="AA126"/>
    </row>
    <row r="127" spans="1:27" s="17" customFormat="1" x14ac:dyDescent="0.35">
      <c r="A127" s="21"/>
      <c r="B127" s="21"/>
      <c r="D127" s="21" t="s">
        <v>84</v>
      </c>
      <c r="E127" s="21" t="s">
        <v>13</v>
      </c>
      <c r="G127" s="17">
        <v>1</v>
      </c>
      <c r="H127" s="93"/>
      <c r="T127"/>
      <c r="U127"/>
      <c r="V127"/>
      <c r="W127"/>
      <c r="X127"/>
      <c r="Y127"/>
      <c r="Z127"/>
      <c r="AA127"/>
    </row>
    <row r="128" spans="1:27" s="17" customFormat="1" x14ac:dyDescent="0.35">
      <c r="A128" s="21"/>
      <c r="B128" s="21"/>
      <c r="D128" s="21" t="s">
        <v>143</v>
      </c>
      <c r="E128" s="21" t="s">
        <v>287</v>
      </c>
      <c r="G128" s="17">
        <v>1</v>
      </c>
      <c r="H128" s="93"/>
      <c r="J128" s="17">
        <v>3</v>
      </c>
      <c r="T128"/>
      <c r="U128"/>
      <c r="V128"/>
      <c r="W128"/>
      <c r="X128"/>
      <c r="Y128"/>
      <c r="Z128"/>
      <c r="AA128"/>
    </row>
    <row r="129" spans="1:27" s="17" customFormat="1" x14ac:dyDescent="0.35">
      <c r="A129" s="21"/>
      <c r="B129" s="21"/>
      <c r="D129" s="21" t="s">
        <v>92</v>
      </c>
      <c r="E129" s="21" t="s">
        <v>51</v>
      </c>
      <c r="G129" s="17">
        <v>1</v>
      </c>
      <c r="H129" s="93"/>
      <c r="T129"/>
      <c r="U129"/>
      <c r="V129"/>
      <c r="W129"/>
      <c r="X129"/>
      <c r="Y129"/>
      <c r="Z129"/>
      <c r="AA129"/>
    </row>
    <row r="130" spans="1:27" s="17" customFormat="1" x14ac:dyDescent="0.35">
      <c r="A130" s="21"/>
      <c r="B130" s="21"/>
      <c r="D130" s="21" t="s">
        <v>374</v>
      </c>
      <c r="E130" s="21" t="s">
        <v>624</v>
      </c>
      <c r="G130" s="17">
        <v>1</v>
      </c>
      <c r="H130" s="93"/>
      <c r="J130" s="17">
        <v>1</v>
      </c>
      <c r="T130"/>
      <c r="U130"/>
      <c r="V130"/>
      <c r="W130"/>
      <c r="X130"/>
      <c r="Y130"/>
      <c r="Z130"/>
      <c r="AA130"/>
    </row>
    <row r="131" spans="1:27" s="17" customFormat="1" x14ac:dyDescent="0.35">
      <c r="A131" s="21"/>
      <c r="B131" s="21"/>
      <c r="D131" s="21" t="s">
        <v>625</v>
      </c>
      <c r="E131" s="21" t="s">
        <v>626</v>
      </c>
      <c r="G131" s="17">
        <v>1</v>
      </c>
      <c r="H131" s="93"/>
      <c r="J131" s="17">
        <v>1</v>
      </c>
      <c r="T131"/>
      <c r="U131"/>
      <c r="V131"/>
      <c r="W131"/>
      <c r="X131"/>
      <c r="Y131"/>
      <c r="Z131"/>
      <c r="AA131"/>
    </row>
    <row r="132" spans="1:27" s="17" customFormat="1" x14ac:dyDescent="0.35">
      <c r="A132" s="21"/>
      <c r="B132" s="21"/>
      <c r="D132" s="21" t="s">
        <v>85</v>
      </c>
      <c r="E132" s="21" t="s">
        <v>22</v>
      </c>
      <c r="G132" s="17">
        <v>1</v>
      </c>
      <c r="H132" s="93"/>
      <c r="J132" s="17">
        <v>1</v>
      </c>
      <c r="T132"/>
      <c r="U132"/>
      <c r="V132"/>
      <c r="W132"/>
      <c r="X132"/>
      <c r="Y132"/>
      <c r="Z132"/>
      <c r="AA132"/>
    </row>
    <row r="133" spans="1:27" s="17" customFormat="1" x14ac:dyDescent="0.35">
      <c r="A133" s="21"/>
      <c r="B133" s="21"/>
      <c r="D133" s="21" t="s">
        <v>79</v>
      </c>
      <c r="E133" s="21" t="s">
        <v>627</v>
      </c>
      <c r="G133" s="17">
        <v>1</v>
      </c>
      <c r="H133" s="93"/>
      <c r="J133" s="17">
        <v>1</v>
      </c>
      <c r="T133"/>
      <c r="U133"/>
      <c r="V133"/>
      <c r="W133"/>
      <c r="X133"/>
      <c r="Y133"/>
      <c r="Z133"/>
      <c r="AA133"/>
    </row>
    <row r="134" spans="1:27" s="17" customFormat="1" x14ac:dyDescent="0.35">
      <c r="A134" s="21"/>
      <c r="B134" s="21"/>
      <c r="D134" s="21" t="s">
        <v>75</v>
      </c>
      <c r="E134" s="21" t="s">
        <v>628</v>
      </c>
      <c r="G134" s="17">
        <v>1</v>
      </c>
      <c r="H134" s="93"/>
      <c r="J134" s="17">
        <v>1</v>
      </c>
      <c r="T134"/>
      <c r="U134"/>
      <c r="V134"/>
      <c r="W134"/>
      <c r="X134"/>
      <c r="Y134"/>
      <c r="Z134"/>
      <c r="AA134"/>
    </row>
    <row r="135" spans="1:27" s="17" customFormat="1" x14ac:dyDescent="0.35">
      <c r="A135" s="21"/>
      <c r="B135" s="21"/>
      <c r="D135" s="21" t="s">
        <v>81</v>
      </c>
      <c r="E135" s="21" t="s">
        <v>629</v>
      </c>
      <c r="G135" s="17">
        <v>1</v>
      </c>
      <c r="H135" s="93"/>
      <c r="J135" s="17">
        <v>1</v>
      </c>
      <c r="T135"/>
      <c r="U135"/>
      <c r="V135"/>
      <c r="W135"/>
      <c r="X135"/>
      <c r="Y135"/>
      <c r="Z135"/>
      <c r="AA135"/>
    </row>
    <row r="136" spans="1:27" s="17" customFormat="1" x14ac:dyDescent="0.35">
      <c r="A136" s="21"/>
      <c r="B136" s="21"/>
      <c r="D136" s="21" t="s">
        <v>96</v>
      </c>
      <c r="E136" s="21" t="s">
        <v>139</v>
      </c>
      <c r="G136" s="17">
        <v>24</v>
      </c>
      <c r="H136" s="93"/>
      <c r="T136"/>
      <c r="U136"/>
      <c r="V136"/>
      <c r="W136"/>
      <c r="X136"/>
      <c r="Y136"/>
      <c r="Z136"/>
      <c r="AA136"/>
    </row>
    <row r="137" spans="1:27" s="17" customFormat="1" x14ac:dyDescent="0.35">
      <c r="A137" s="21"/>
      <c r="B137" s="21"/>
      <c r="D137" s="21" t="s">
        <v>336</v>
      </c>
      <c r="E137" s="21" t="s">
        <v>337</v>
      </c>
      <c r="G137" s="17">
        <v>1</v>
      </c>
      <c r="H137" s="93"/>
      <c r="T137"/>
      <c r="U137"/>
      <c r="V137"/>
      <c r="W137"/>
      <c r="X137"/>
      <c r="Y137"/>
      <c r="Z137"/>
      <c r="AA137"/>
    </row>
    <row r="138" spans="1:27" s="17" customFormat="1" x14ac:dyDescent="0.35">
      <c r="A138" s="21"/>
      <c r="B138" s="21"/>
      <c r="D138" s="21" t="s">
        <v>334</v>
      </c>
      <c r="E138" s="21" t="s">
        <v>335</v>
      </c>
      <c r="G138" s="17">
        <v>1</v>
      </c>
      <c r="H138" s="93"/>
      <c r="T138"/>
      <c r="U138"/>
      <c r="V138"/>
      <c r="W138"/>
      <c r="X138"/>
      <c r="Y138"/>
      <c r="Z138"/>
      <c r="AA138"/>
    </row>
    <row r="139" spans="1:27" s="17" customFormat="1" x14ac:dyDescent="0.35">
      <c r="A139" s="21"/>
      <c r="B139" s="21"/>
      <c r="D139" s="21" t="s">
        <v>332</v>
      </c>
      <c r="E139" s="21" t="s">
        <v>333</v>
      </c>
      <c r="G139" s="17">
        <v>1</v>
      </c>
      <c r="H139" s="93"/>
      <c r="T139"/>
      <c r="U139"/>
      <c r="V139"/>
      <c r="W139"/>
      <c r="X139"/>
      <c r="Y139"/>
      <c r="Z139"/>
      <c r="AA139"/>
    </row>
    <row r="140" spans="1:27" s="17" customFormat="1" x14ac:dyDescent="0.35">
      <c r="A140" s="21"/>
      <c r="B140" s="21"/>
      <c r="D140" s="21" t="s">
        <v>290</v>
      </c>
      <c r="E140" s="21" t="s">
        <v>291</v>
      </c>
      <c r="G140" s="17">
        <v>1</v>
      </c>
      <c r="H140" s="93"/>
      <c r="T140"/>
      <c r="U140"/>
      <c r="V140"/>
      <c r="W140"/>
      <c r="X140"/>
      <c r="Y140"/>
      <c r="Z140"/>
      <c r="AA140"/>
    </row>
    <row r="141" spans="1:27" s="17" customFormat="1" x14ac:dyDescent="0.35">
      <c r="A141" s="21"/>
      <c r="B141" s="21"/>
      <c r="D141" s="21" t="s">
        <v>322</v>
      </c>
      <c r="E141" s="21" t="s">
        <v>323</v>
      </c>
      <c r="G141" s="17">
        <v>2</v>
      </c>
      <c r="H141" s="93"/>
      <c r="T141"/>
      <c r="U141"/>
      <c r="V141"/>
      <c r="W141"/>
      <c r="X141"/>
      <c r="Y141"/>
      <c r="Z141"/>
      <c r="AA141"/>
    </row>
    <row r="142" spans="1:27" s="17" customFormat="1" x14ac:dyDescent="0.35">
      <c r="A142" s="21"/>
      <c r="B142" s="21"/>
      <c r="D142" s="21" t="s">
        <v>630</v>
      </c>
      <c r="E142" s="21" t="s">
        <v>631</v>
      </c>
      <c r="G142" s="17">
        <v>1</v>
      </c>
      <c r="H142" s="93"/>
      <c r="T142"/>
      <c r="U142"/>
      <c r="V142"/>
      <c r="W142"/>
      <c r="X142"/>
      <c r="Y142"/>
      <c r="Z142"/>
      <c r="AA142"/>
    </row>
    <row r="143" spans="1:27" s="17" customFormat="1" x14ac:dyDescent="0.35">
      <c r="A143" s="21"/>
      <c r="B143" s="21"/>
      <c r="D143" s="21" t="s">
        <v>307</v>
      </c>
      <c r="E143" s="21" t="s">
        <v>308</v>
      </c>
      <c r="G143" s="17">
        <v>6</v>
      </c>
      <c r="H143" s="93"/>
      <c r="T143"/>
      <c r="U143"/>
      <c r="V143"/>
      <c r="W143"/>
      <c r="X143"/>
      <c r="Y143"/>
      <c r="Z143"/>
      <c r="AA143"/>
    </row>
    <row r="144" spans="1:27" s="17" customFormat="1" x14ac:dyDescent="0.35">
      <c r="A144" s="21"/>
      <c r="B144" s="21"/>
      <c r="D144" s="21" t="s">
        <v>524</v>
      </c>
      <c r="E144" s="21" t="s">
        <v>525</v>
      </c>
      <c r="G144" s="17">
        <v>1</v>
      </c>
      <c r="H144" s="93"/>
      <c r="T144"/>
      <c r="U144"/>
      <c r="V144"/>
      <c r="W144"/>
      <c r="X144"/>
      <c r="Y144"/>
      <c r="Z144"/>
      <c r="AA144"/>
    </row>
    <row r="145" spans="1:27" s="17" customFormat="1" x14ac:dyDescent="0.35">
      <c r="A145" s="21"/>
      <c r="B145" s="21"/>
      <c r="D145" s="21" t="s">
        <v>324</v>
      </c>
      <c r="E145" s="21" t="s">
        <v>325</v>
      </c>
      <c r="G145" s="17">
        <v>2</v>
      </c>
      <c r="H145" s="93"/>
      <c r="T145"/>
      <c r="U145"/>
      <c r="V145"/>
      <c r="W145"/>
      <c r="X145"/>
      <c r="Y145"/>
      <c r="Z145"/>
      <c r="AA145"/>
    </row>
    <row r="146" spans="1:27" s="17" customFormat="1" x14ac:dyDescent="0.35">
      <c r="A146" s="21"/>
      <c r="B146" s="21"/>
      <c r="D146" s="21" t="s">
        <v>95</v>
      </c>
      <c r="E146" s="21" t="s">
        <v>71</v>
      </c>
      <c r="G146" s="17">
        <v>1</v>
      </c>
      <c r="H146" s="93"/>
      <c r="T146"/>
      <c r="U146"/>
      <c r="V146"/>
      <c r="W146"/>
      <c r="X146"/>
      <c r="Y146"/>
      <c r="Z146"/>
      <c r="AA146"/>
    </row>
    <row r="147" spans="1:27" s="17" customFormat="1" x14ac:dyDescent="0.35">
      <c r="A147" s="21"/>
      <c r="B147" s="21"/>
      <c r="D147" s="21" t="s">
        <v>112</v>
      </c>
      <c r="E147" s="21" t="s">
        <v>118</v>
      </c>
      <c r="G147" s="17">
        <v>2</v>
      </c>
      <c r="H147" s="93"/>
      <c r="T147"/>
      <c r="U147"/>
      <c r="V147"/>
      <c r="W147"/>
      <c r="X147"/>
      <c r="Y147"/>
      <c r="Z147"/>
      <c r="AA147"/>
    </row>
    <row r="148" spans="1:27" s="17" customFormat="1" x14ac:dyDescent="0.35">
      <c r="A148" s="21"/>
      <c r="B148" s="21"/>
      <c r="D148" s="21" t="s">
        <v>632</v>
      </c>
      <c r="E148" s="21" t="s">
        <v>633</v>
      </c>
      <c r="G148" s="17">
        <v>2</v>
      </c>
      <c r="H148" s="93"/>
      <c r="T148"/>
      <c r="U148"/>
      <c r="V148"/>
      <c r="W148"/>
      <c r="X148"/>
      <c r="Y148"/>
      <c r="Z148"/>
      <c r="AA148"/>
    </row>
    <row r="149" spans="1:27" s="17" customFormat="1" x14ac:dyDescent="0.35">
      <c r="A149" s="21"/>
      <c r="B149" s="21"/>
      <c r="D149" s="21" t="s">
        <v>111</v>
      </c>
      <c r="E149" s="21" t="s">
        <v>117</v>
      </c>
      <c r="G149" s="17">
        <v>1</v>
      </c>
      <c r="H149" s="93"/>
      <c r="T149"/>
      <c r="U149"/>
      <c r="V149"/>
      <c r="W149"/>
      <c r="X149"/>
      <c r="Y149"/>
      <c r="Z149"/>
      <c r="AA149"/>
    </row>
    <row r="150" spans="1:27" s="49" customFormat="1" ht="21.75" thickBot="1" x14ac:dyDescent="0.4">
      <c r="A150" s="48"/>
      <c r="B150" s="48"/>
      <c r="D150" s="48"/>
      <c r="E150" s="48"/>
      <c r="H150" s="94"/>
      <c r="T150" s="76"/>
      <c r="U150" s="76"/>
      <c r="V150" s="76"/>
      <c r="W150" s="76"/>
      <c r="X150" s="76"/>
      <c r="Y150" s="76"/>
      <c r="Z150" s="76"/>
      <c r="AA150" s="76"/>
    </row>
    <row r="151" spans="1:27" s="47" customFormat="1" x14ac:dyDescent="0.35">
      <c r="A151" s="46" t="s">
        <v>74</v>
      </c>
      <c r="B151" s="46" t="s">
        <v>226</v>
      </c>
      <c r="C151" s="53">
        <v>4984</v>
      </c>
      <c r="D151" s="46"/>
      <c r="E151" s="46" t="s">
        <v>634</v>
      </c>
      <c r="F151" s="47" t="s">
        <v>303</v>
      </c>
      <c r="G151" s="47">
        <v>4</v>
      </c>
      <c r="H151" s="95" t="s">
        <v>618</v>
      </c>
      <c r="L151" s="47">
        <v>2</v>
      </c>
      <c r="M151" s="47">
        <v>2</v>
      </c>
      <c r="T151"/>
      <c r="U151"/>
      <c r="V151"/>
      <c r="W151"/>
      <c r="X151"/>
      <c r="Y151"/>
      <c r="Z151"/>
      <c r="AA151"/>
    </row>
    <row r="152" spans="1:27" s="49" customFormat="1" ht="21.75" thickBot="1" x14ac:dyDescent="0.4">
      <c r="A152" s="48"/>
      <c r="B152" s="48"/>
      <c r="D152" s="48"/>
      <c r="E152" s="48"/>
      <c r="H152" s="94"/>
      <c r="T152" s="76"/>
      <c r="U152" s="76"/>
      <c r="V152" s="76"/>
      <c r="W152" s="76"/>
      <c r="X152" s="76"/>
      <c r="Y152" s="76"/>
      <c r="Z152" s="76"/>
      <c r="AA152" s="76"/>
    </row>
    <row r="153" spans="1:27" s="47" customFormat="1" x14ac:dyDescent="0.35">
      <c r="A153" s="46" t="s">
        <v>74</v>
      </c>
      <c r="B153" s="46" t="s">
        <v>226</v>
      </c>
      <c r="C153" s="53">
        <v>4985</v>
      </c>
      <c r="D153" s="46" t="s">
        <v>76</v>
      </c>
      <c r="E153" s="46" t="s">
        <v>150</v>
      </c>
      <c r="F153" s="47" t="s">
        <v>303</v>
      </c>
      <c r="G153" s="47">
        <v>3</v>
      </c>
      <c r="H153" s="95">
        <v>46170</v>
      </c>
      <c r="I153" s="47">
        <v>0.5</v>
      </c>
      <c r="L153" s="47">
        <v>0.5</v>
      </c>
      <c r="M153" s="47">
        <v>0.5</v>
      </c>
      <c r="T153"/>
      <c r="U153"/>
      <c r="V153"/>
      <c r="W153"/>
      <c r="X153"/>
      <c r="Y153"/>
      <c r="Z153"/>
      <c r="AA153"/>
    </row>
    <row r="154" spans="1:27" s="17" customFormat="1" x14ac:dyDescent="0.35">
      <c r="A154" s="21"/>
      <c r="B154" s="21"/>
      <c r="D154" s="21" t="s">
        <v>80</v>
      </c>
      <c r="E154" s="21" t="s">
        <v>19</v>
      </c>
      <c r="G154" s="17">
        <v>3</v>
      </c>
      <c r="H154" s="93"/>
      <c r="I154" s="17">
        <v>1</v>
      </c>
      <c r="L154" s="17">
        <v>1</v>
      </c>
      <c r="M154" s="17">
        <v>1</v>
      </c>
      <c r="T154"/>
      <c r="U154"/>
      <c r="V154"/>
      <c r="W154"/>
      <c r="X154"/>
      <c r="Y154"/>
      <c r="Z154"/>
      <c r="AA154"/>
    </row>
    <row r="155" spans="1:27" s="17" customFormat="1" x14ac:dyDescent="0.35">
      <c r="A155" s="21"/>
      <c r="B155" s="21"/>
      <c r="D155" s="21" t="s">
        <v>78</v>
      </c>
      <c r="E155" s="21" t="s">
        <v>16</v>
      </c>
      <c r="G155" s="17">
        <v>3</v>
      </c>
      <c r="H155" s="93"/>
      <c r="T155"/>
      <c r="U155"/>
      <c r="V155"/>
      <c r="W155"/>
      <c r="X155"/>
      <c r="Y155"/>
      <c r="Z155"/>
      <c r="AA155"/>
    </row>
    <row r="156" spans="1:27" s="17" customFormat="1" x14ac:dyDescent="0.35">
      <c r="A156" s="21"/>
      <c r="B156" s="21"/>
      <c r="D156" s="21" t="s">
        <v>92</v>
      </c>
      <c r="E156" s="21" t="s">
        <v>51</v>
      </c>
      <c r="G156" s="17">
        <v>3</v>
      </c>
      <c r="H156" s="93"/>
      <c r="T156"/>
      <c r="U156"/>
      <c r="V156"/>
      <c r="W156"/>
      <c r="X156"/>
      <c r="Y156"/>
      <c r="Z156"/>
      <c r="AA156"/>
    </row>
    <row r="157" spans="1:27" s="17" customFormat="1" x14ac:dyDescent="0.35">
      <c r="A157" s="21"/>
      <c r="B157" s="21"/>
      <c r="D157" s="21" t="s">
        <v>93</v>
      </c>
      <c r="E157" s="21" t="s">
        <v>14</v>
      </c>
      <c r="G157" s="17">
        <v>3</v>
      </c>
      <c r="H157" s="93"/>
      <c r="I157" s="17">
        <v>1</v>
      </c>
      <c r="L157" s="17">
        <v>1</v>
      </c>
      <c r="M157" s="17">
        <v>1</v>
      </c>
      <c r="T157"/>
      <c r="U157"/>
      <c r="V157"/>
      <c r="W157"/>
      <c r="X157"/>
      <c r="Y157"/>
      <c r="Z157"/>
      <c r="AA157"/>
    </row>
    <row r="158" spans="1:27" s="17" customFormat="1" x14ac:dyDescent="0.35">
      <c r="A158" s="21"/>
      <c r="B158" s="21"/>
      <c r="D158" s="21" t="s">
        <v>625</v>
      </c>
      <c r="E158" s="21" t="s">
        <v>635</v>
      </c>
      <c r="G158" s="17">
        <v>3</v>
      </c>
      <c r="H158" s="93"/>
      <c r="I158" s="17">
        <v>6</v>
      </c>
      <c r="L158" s="17">
        <v>1</v>
      </c>
      <c r="M158" s="17">
        <v>1</v>
      </c>
      <c r="T158"/>
      <c r="U158"/>
      <c r="V158"/>
      <c r="W158"/>
      <c r="X158"/>
      <c r="Y158"/>
      <c r="Z158"/>
      <c r="AA158"/>
    </row>
    <row r="159" spans="1:27" s="17" customFormat="1" x14ac:dyDescent="0.35">
      <c r="A159" s="21"/>
      <c r="B159" s="21"/>
      <c r="D159" s="21" t="s">
        <v>87</v>
      </c>
      <c r="E159" s="21" t="s">
        <v>21</v>
      </c>
      <c r="G159" s="17">
        <v>3</v>
      </c>
      <c r="H159" s="93"/>
      <c r="I159" s="17">
        <v>6</v>
      </c>
      <c r="L159" s="17">
        <v>1</v>
      </c>
      <c r="M159" s="17">
        <v>1</v>
      </c>
      <c r="T159"/>
      <c r="U159"/>
      <c r="V159"/>
      <c r="W159"/>
      <c r="X159"/>
      <c r="Y159"/>
      <c r="Z159"/>
      <c r="AA159"/>
    </row>
    <row r="160" spans="1:27" s="17" customFormat="1" x14ac:dyDescent="0.35">
      <c r="A160" s="21"/>
      <c r="B160" s="21"/>
      <c r="D160" s="21" t="s">
        <v>79</v>
      </c>
      <c r="E160" s="21" t="s">
        <v>636</v>
      </c>
      <c r="G160" s="17">
        <v>3</v>
      </c>
      <c r="H160" s="93"/>
      <c r="I160" s="17">
        <v>6</v>
      </c>
      <c r="L160" s="17">
        <v>1</v>
      </c>
      <c r="M160" s="17">
        <v>1</v>
      </c>
      <c r="T160"/>
      <c r="U160"/>
      <c r="V160"/>
      <c r="W160"/>
      <c r="X160"/>
      <c r="Y160"/>
      <c r="Z160"/>
      <c r="AA160"/>
    </row>
    <row r="161" spans="1:27" s="17" customFormat="1" x14ac:dyDescent="0.35">
      <c r="A161" s="21"/>
      <c r="B161" s="21"/>
      <c r="D161" s="21" t="s">
        <v>75</v>
      </c>
      <c r="E161" s="21" t="s">
        <v>55</v>
      </c>
      <c r="G161" s="17">
        <v>3</v>
      </c>
      <c r="H161" s="93"/>
      <c r="I161" s="17">
        <v>6</v>
      </c>
      <c r="L161" s="17">
        <v>1</v>
      </c>
      <c r="M161" s="17">
        <v>1</v>
      </c>
      <c r="T161"/>
      <c r="U161"/>
      <c r="V161"/>
      <c r="W161"/>
      <c r="X161"/>
      <c r="Y161"/>
      <c r="Z161"/>
      <c r="AA161"/>
    </row>
    <row r="162" spans="1:27" s="17" customFormat="1" x14ac:dyDescent="0.35">
      <c r="A162" s="21"/>
      <c r="B162" s="21"/>
      <c r="D162" s="21" t="s">
        <v>107</v>
      </c>
      <c r="E162" s="21" t="s">
        <v>637</v>
      </c>
      <c r="G162" s="17">
        <v>3</v>
      </c>
      <c r="H162" s="93"/>
      <c r="I162" s="17">
        <v>1</v>
      </c>
      <c r="L162" s="17">
        <v>1</v>
      </c>
      <c r="M162" s="17">
        <v>1</v>
      </c>
      <c r="T162"/>
      <c r="U162"/>
      <c r="V162"/>
      <c r="W162"/>
      <c r="X162"/>
      <c r="Y162"/>
      <c r="Z162"/>
      <c r="AA162"/>
    </row>
    <row r="163" spans="1:27" s="17" customFormat="1" x14ac:dyDescent="0.35">
      <c r="A163" s="21"/>
      <c r="B163" s="21"/>
      <c r="D163" s="21" t="s">
        <v>94</v>
      </c>
      <c r="E163" s="21" t="s">
        <v>18</v>
      </c>
      <c r="G163" s="17">
        <v>72</v>
      </c>
      <c r="H163" s="93"/>
      <c r="T163"/>
      <c r="U163"/>
      <c r="V163"/>
      <c r="W163"/>
      <c r="X163"/>
      <c r="Y163"/>
      <c r="Z163"/>
      <c r="AA163"/>
    </row>
    <row r="164" spans="1:27" s="17" customFormat="1" x14ac:dyDescent="0.35">
      <c r="A164" s="21"/>
      <c r="B164" s="21"/>
      <c r="D164" s="21" t="s">
        <v>336</v>
      </c>
      <c r="E164" s="21" t="s">
        <v>337</v>
      </c>
      <c r="G164" s="17">
        <v>6</v>
      </c>
      <c r="H164" s="93"/>
      <c r="T164"/>
      <c r="U164"/>
      <c r="V164"/>
      <c r="W164"/>
      <c r="X164"/>
      <c r="Y164"/>
      <c r="Z164"/>
      <c r="AA164"/>
    </row>
    <row r="165" spans="1:27" s="17" customFormat="1" x14ac:dyDescent="0.35">
      <c r="A165" s="21"/>
      <c r="B165" s="21"/>
      <c r="D165" s="21" t="s">
        <v>336</v>
      </c>
      <c r="E165" s="21" t="s">
        <v>337</v>
      </c>
      <c r="G165" s="17">
        <v>6</v>
      </c>
      <c r="H165" s="93"/>
      <c r="T165"/>
      <c r="U165"/>
      <c r="V165"/>
      <c r="W165"/>
      <c r="X165"/>
      <c r="Y165"/>
      <c r="Z165"/>
      <c r="AA165"/>
    </row>
    <row r="166" spans="1:27" s="17" customFormat="1" x14ac:dyDescent="0.35">
      <c r="A166" s="21"/>
      <c r="B166" s="21"/>
      <c r="D166" s="21" t="s">
        <v>522</v>
      </c>
      <c r="E166" s="21" t="s">
        <v>523</v>
      </c>
      <c r="G166" s="17">
        <v>6</v>
      </c>
      <c r="H166" s="93"/>
      <c r="T166"/>
      <c r="U166"/>
      <c r="V166"/>
      <c r="W166"/>
      <c r="X166"/>
      <c r="Y166"/>
      <c r="Z166"/>
      <c r="AA166"/>
    </row>
    <row r="167" spans="1:27" s="17" customFormat="1" x14ac:dyDescent="0.35">
      <c r="A167" s="21"/>
      <c r="B167" s="21"/>
      <c r="D167" s="21" t="s">
        <v>157</v>
      </c>
      <c r="E167" s="21" t="s">
        <v>158</v>
      </c>
      <c r="G167" s="17">
        <v>9</v>
      </c>
      <c r="H167" s="93"/>
      <c r="T167"/>
      <c r="U167"/>
      <c r="V167"/>
      <c r="W167"/>
      <c r="X167"/>
      <c r="Y167"/>
      <c r="Z167"/>
      <c r="AA167"/>
    </row>
    <row r="168" spans="1:27" s="17" customFormat="1" x14ac:dyDescent="0.35">
      <c r="A168" s="21"/>
      <c r="B168" s="21"/>
      <c r="D168" s="21" t="s">
        <v>112</v>
      </c>
      <c r="E168" s="21" t="s">
        <v>118</v>
      </c>
      <c r="G168" s="17">
        <v>3</v>
      </c>
      <c r="H168" s="93"/>
      <c r="T168"/>
      <c r="U168"/>
      <c r="V168"/>
      <c r="W168"/>
      <c r="X168"/>
      <c r="Y168"/>
      <c r="Z168"/>
      <c r="AA168"/>
    </row>
    <row r="169" spans="1:27" s="17" customFormat="1" x14ac:dyDescent="0.35">
      <c r="A169" s="21"/>
      <c r="B169" s="21"/>
      <c r="D169" s="21" t="s">
        <v>239</v>
      </c>
      <c r="E169" s="21" t="s">
        <v>240</v>
      </c>
      <c r="G169" s="17">
        <v>6</v>
      </c>
      <c r="H169" s="93"/>
      <c r="T169"/>
      <c r="U169"/>
      <c r="V169"/>
      <c r="W169"/>
      <c r="X169"/>
      <c r="Y169"/>
      <c r="Z169"/>
      <c r="AA169"/>
    </row>
    <row r="170" spans="1:27" s="17" customFormat="1" x14ac:dyDescent="0.35">
      <c r="A170" s="21"/>
      <c r="B170" s="21"/>
      <c r="D170" s="21" t="s">
        <v>256</v>
      </c>
      <c r="E170" s="21" t="s">
        <v>257</v>
      </c>
      <c r="G170" s="17">
        <v>3</v>
      </c>
      <c r="H170" s="93"/>
      <c r="T170"/>
      <c r="U170"/>
      <c r="V170"/>
      <c r="W170"/>
      <c r="X170"/>
      <c r="Y170"/>
      <c r="Z170"/>
      <c r="AA170"/>
    </row>
    <row r="171" spans="1:27" s="17" customFormat="1" x14ac:dyDescent="0.35">
      <c r="A171" s="21"/>
      <c r="B171" s="21"/>
      <c r="D171" s="21" t="s">
        <v>116</v>
      </c>
      <c r="E171" s="21" t="s">
        <v>122</v>
      </c>
      <c r="G171" s="17">
        <v>3</v>
      </c>
      <c r="H171" s="93"/>
      <c r="T171"/>
      <c r="U171"/>
      <c r="V171"/>
      <c r="W171"/>
      <c r="X171"/>
      <c r="Y171"/>
      <c r="Z171"/>
      <c r="AA171"/>
    </row>
    <row r="172" spans="1:27" s="17" customFormat="1" x14ac:dyDescent="0.35">
      <c r="A172" s="21"/>
      <c r="B172" s="21"/>
      <c r="D172" s="21" t="s">
        <v>115</v>
      </c>
      <c r="E172" s="21" t="s">
        <v>121</v>
      </c>
      <c r="G172" s="17">
        <v>3</v>
      </c>
      <c r="H172" s="93"/>
      <c r="T172"/>
      <c r="U172"/>
      <c r="V172"/>
      <c r="W172"/>
      <c r="X172"/>
      <c r="Y172"/>
      <c r="Z172"/>
      <c r="AA172"/>
    </row>
    <row r="173" spans="1:27" s="17" customFormat="1" x14ac:dyDescent="0.35">
      <c r="A173" s="21"/>
      <c r="B173" s="21"/>
      <c r="D173" s="21" t="s">
        <v>113</v>
      </c>
      <c r="E173" s="21" t="s">
        <v>119</v>
      </c>
      <c r="G173" s="17">
        <v>3</v>
      </c>
      <c r="H173" s="93"/>
      <c r="T173"/>
      <c r="U173"/>
      <c r="V173"/>
      <c r="W173"/>
      <c r="X173"/>
      <c r="Y173"/>
      <c r="Z173"/>
      <c r="AA173"/>
    </row>
    <row r="174" spans="1:27" s="17" customFormat="1" x14ac:dyDescent="0.35">
      <c r="A174" s="21"/>
      <c r="B174" s="21"/>
      <c r="D174" s="21" t="s">
        <v>324</v>
      </c>
      <c r="E174" s="21" t="s">
        <v>325</v>
      </c>
      <c r="G174" s="17">
        <v>3</v>
      </c>
      <c r="H174" s="93"/>
      <c r="T174"/>
      <c r="U174"/>
      <c r="V174"/>
      <c r="W174"/>
      <c r="X174"/>
      <c r="Y174"/>
      <c r="Z174"/>
      <c r="AA174"/>
    </row>
    <row r="175" spans="1:27" s="49" customFormat="1" ht="21.75" thickBot="1" x14ac:dyDescent="0.4">
      <c r="A175" s="48"/>
      <c r="B175" s="48"/>
      <c r="D175" s="48"/>
      <c r="E175" s="48"/>
      <c r="H175" s="94"/>
      <c r="T175" s="76"/>
      <c r="U175" s="76"/>
      <c r="V175" s="76"/>
      <c r="W175" s="76"/>
      <c r="X175" s="76"/>
      <c r="Y175" s="76"/>
      <c r="Z175" s="76"/>
      <c r="AA175" s="76"/>
    </row>
    <row r="176" spans="1:27" s="47" customFormat="1" x14ac:dyDescent="0.35">
      <c r="A176" s="46" t="s">
        <v>11</v>
      </c>
      <c r="B176" s="46" t="s">
        <v>163</v>
      </c>
      <c r="C176" s="53">
        <v>4986</v>
      </c>
      <c r="D176" s="46" t="s">
        <v>410</v>
      </c>
      <c r="E176" s="46" t="s">
        <v>411</v>
      </c>
      <c r="F176" s="47" t="s">
        <v>376</v>
      </c>
      <c r="G176" s="47">
        <v>6</v>
      </c>
      <c r="H176" s="95">
        <v>46170</v>
      </c>
      <c r="I176" s="47">
        <v>12</v>
      </c>
      <c r="N176" s="47">
        <v>12</v>
      </c>
      <c r="T176"/>
      <c r="U176"/>
      <c r="V176"/>
      <c r="W176"/>
      <c r="X176"/>
      <c r="Y176"/>
      <c r="Z176"/>
      <c r="AA176"/>
    </row>
    <row r="177" spans="1:27" s="17" customFormat="1" x14ac:dyDescent="0.35">
      <c r="A177" s="21"/>
      <c r="B177" s="21"/>
      <c r="D177" s="21" t="s">
        <v>143</v>
      </c>
      <c r="E177" s="21" t="s">
        <v>287</v>
      </c>
      <c r="G177" s="17">
        <v>6</v>
      </c>
      <c r="H177" s="93"/>
      <c r="I177" s="17">
        <v>9</v>
      </c>
      <c r="N177" s="17">
        <v>9</v>
      </c>
      <c r="T177"/>
      <c r="U177"/>
      <c r="V177"/>
      <c r="W177"/>
      <c r="X177"/>
      <c r="Y177"/>
      <c r="Z177"/>
      <c r="AA177"/>
    </row>
    <row r="178" spans="1:27" s="17" customFormat="1" x14ac:dyDescent="0.35">
      <c r="A178" s="21"/>
      <c r="B178" s="21"/>
      <c r="D178" s="21" t="s">
        <v>79</v>
      </c>
      <c r="E178" s="21" t="s">
        <v>638</v>
      </c>
      <c r="G178" s="17">
        <v>12</v>
      </c>
      <c r="H178" s="93"/>
      <c r="I178" s="17">
        <v>6</v>
      </c>
      <c r="N178" s="17">
        <v>6</v>
      </c>
      <c r="T178"/>
      <c r="U178"/>
      <c r="V178"/>
      <c r="W178"/>
      <c r="X178"/>
      <c r="Y178"/>
      <c r="Z178"/>
      <c r="AA178"/>
    </row>
    <row r="179" spans="1:27" s="17" customFormat="1" x14ac:dyDescent="0.35">
      <c r="A179" s="21"/>
      <c r="B179" s="21"/>
      <c r="D179" s="21" t="s">
        <v>620</v>
      </c>
      <c r="E179" s="21" t="s">
        <v>621</v>
      </c>
      <c r="G179" s="17">
        <v>6</v>
      </c>
      <c r="H179" s="93"/>
      <c r="T179"/>
      <c r="U179"/>
      <c r="V179"/>
      <c r="W179"/>
      <c r="X179"/>
      <c r="Y179"/>
      <c r="Z179"/>
      <c r="AA179"/>
    </row>
    <row r="180" spans="1:27" s="49" customFormat="1" ht="21.75" thickBot="1" x14ac:dyDescent="0.4">
      <c r="A180" s="48"/>
      <c r="B180" s="48"/>
      <c r="D180" s="48"/>
      <c r="E180" s="48"/>
      <c r="H180" s="94"/>
      <c r="T180" s="76"/>
      <c r="U180" s="76"/>
      <c r="V180" s="76"/>
      <c r="W180" s="76"/>
      <c r="X180" s="76"/>
      <c r="Y180" s="76"/>
      <c r="Z180" s="76"/>
      <c r="AA180" s="76"/>
    </row>
    <row r="181" spans="1:27" s="47" customFormat="1" x14ac:dyDescent="0.35">
      <c r="A181" s="46" t="s">
        <v>412</v>
      </c>
      <c r="B181" s="46" t="s">
        <v>414</v>
      </c>
      <c r="C181" s="47">
        <v>4987</v>
      </c>
      <c r="D181" s="46" t="s">
        <v>253</v>
      </c>
      <c r="E181" s="46" t="s">
        <v>254</v>
      </c>
      <c r="F181" s="105" t="s">
        <v>219</v>
      </c>
      <c r="G181" s="47">
        <v>1</v>
      </c>
      <c r="H181" s="95">
        <v>46170</v>
      </c>
      <c r="T181"/>
      <c r="U181"/>
      <c r="V181"/>
      <c r="W181"/>
      <c r="X181"/>
      <c r="Y181"/>
      <c r="Z181"/>
      <c r="AA181"/>
    </row>
    <row r="182" spans="1:27" s="17" customFormat="1" x14ac:dyDescent="0.35">
      <c r="A182" s="21"/>
      <c r="B182" s="21"/>
      <c r="D182" s="21" t="s">
        <v>304</v>
      </c>
      <c r="E182" s="21" t="s">
        <v>639</v>
      </c>
      <c r="G182" s="17">
        <v>1</v>
      </c>
      <c r="H182" s="93"/>
      <c r="T182"/>
      <c r="U182"/>
      <c r="V182"/>
      <c r="W182"/>
      <c r="X182"/>
      <c r="Y182"/>
      <c r="Z182"/>
      <c r="AA182"/>
    </row>
    <row r="183" spans="1:27" s="17" customFormat="1" x14ac:dyDescent="0.35">
      <c r="A183" s="21"/>
      <c r="B183" s="21"/>
      <c r="D183" s="21" t="s">
        <v>221</v>
      </c>
      <c r="E183" s="21" t="s">
        <v>222</v>
      </c>
      <c r="G183" s="17">
        <v>1</v>
      </c>
      <c r="H183" s="93"/>
      <c r="T183"/>
      <c r="U183"/>
      <c r="V183"/>
      <c r="W183"/>
      <c r="X183"/>
      <c r="Y183"/>
      <c r="Z183"/>
      <c r="AA183"/>
    </row>
    <row r="184" spans="1:27" s="17" customFormat="1" x14ac:dyDescent="0.35">
      <c r="A184" s="21"/>
      <c r="B184" s="21"/>
      <c r="D184" s="21" t="s">
        <v>103</v>
      </c>
      <c r="E184" s="21" t="s">
        <v>70</v>
      </c>
      <c r="G184" s="17">
        <v>1</v>
      </c>
      <c r="H184" s="93"/>
      <c r="T184"/>
      <c r="U184"/>
      <c r="V184"/>
      <c r="W184"/>
      <c r="X184"/>
      <c r="Y184"/>
      <c r="Z184"/>
      <c r="AA184"/>
    </row>
    <row r="185" spans="1:27" s="49" customFormat="1" ht="21.75" thickBot="1" x14ac:dyDescent="0.4">
      <c r="A185" s="48"/>
      <c r="B185" s="48"/>
      <c r="D185" s="48"/>
      <c r="E185" s="48"/>
      <c r="H185" s="94"/>
      <c r="T185" s="76"/>
      <c r="U185" s="76"/>
      <c r="V185" s="76"/>
      <c r="W185" s="76"/>
      <c r="X185" s="76"/>
      <c r="Y185" s="76"/>
      <c r="Z185" s="76"/>
      <c r="AA185" s="76"/>
    </row>
    <row r="186" spans="1:27" s="47" customFormat="1" x14ac:dyDescent="0.35">
      <c r="A186" s="46" t="s">
        <v>640</v>
      </c>
      <c r="B186" s="46" t="s">
        <v>220</v>
      </c>
      <c r="C186" s="51">
        <v>4988</v>
      </c>
      <c r="D186" s="46" t="s">
        <v>76</v>
      </c>
      <c r="E186" s="46" t="s">
        <v>150</v>
      </c>
      <c r="F186" s="47" t="s">
        <v>303</v>
      </c>
      <c r="G186" s="47">
        <v>2</v>
      </c>
      <c r="H186" s="95">
        <v>46171</v>
      </c>
      <c r="T186"/>
      <c r="U186"/>
      <c r="V186"/>
      <c r="W186"/>
      <c r="X186"/>
      <c r="Y186"/>
      <c r="Z186"/>
      <c r="AA186"/>
    </row>
    <row r="187" spans="1:27" s="17" customFormat="1" x14ac:dyDescent="0.35">
      <c r="A187" s="21"/>
      <c r="B187" s="21"/>
      <c r="D187" s="21" t="s">
        <v>80</v>
      </c>
      <c r="E187" s="21" t="s">
        <v>19</v>
      </c>
      <c r="G187" s="17">
        <v>2</v>
      </c>
      <c r="H187" s="93"/>
      <c r="T187"/>
      <c r="U187"/>
      <c r="V187"/>
      <c r="W187"/>
      <c r="X187"/>
      <c r="Y187"/>
      <c r="Z187"/>
      <c r="AA187"/>
    </row>
    <row r="188" spans="1:27" s="17" customFormat="1" x14ac:dyDescent="0.35">
      <c r="A188" s="21"/>
      <c r="B188" s="21"/>
      <c r="D188" s="21" t="s">
        <v>77</v>
      </c>
      <c r="E188" s="21" t="s">
        <v>20</v>
      </c>
      <c r="G188" s="17">
        <v>2</v>
      </c>
      <c r="H188" s="93"/>
      <c r="T188"/>
      <c r="U188"/>
      <c r="V188"/>
      <c r="W188"/>
      <c r="X188"/>
      <c r="Y188"/>
      <c r="Z188"/>
      <c r="AA188"/>
    </row>
    <row r="189" spans="1:27" s="17" customFormat="1" x14ac:dyDescent="0.35">
      <c r="A189" s="21"/>
      <c r="B189" s="21"/>
      <c r="D189" s="21" t="s">
        <v>92</v>
      </c>
      <c r="E189" s="21" t="s">
        <v>51</v>
      </c>
      <c r="G189" s="17">
        <v>2</v>
      </c>
      <c r="H189" s="93"/>
      <c r="T189"/>
      <c r="U189"/>
      <c r="V189"/>
      <c r="W189"/>
      <c r="X189"/>
      <c r="Y189"/>
      <c r="Z189"/>
      <c r="AA189"/>
    </row>
    <row r="190" spans="1:27" s="17" customFormat="1" x14ac:dyDescent="0.35">
      <c r="A190" s="21"/>
      <c r="B190" s="21"/>
      <c r="D190" s="21" t="s">
        <v>78</v>
      </c>
      <c r="E190" s="21" t="s">
        <v>16</v>
      </c>
      <c r="G190" s="17">
        <v>2</v>
      </c>
      <c r="H190" s="93"/>
      <c r="T190"/>
      <c r="U190"/>
      <c r="V190"/>
      <c r="W190"/>
      <c r="X190"/>
      <c r="Y190"/>
      <c r="Z190"/>
      <c r="AA190"/>
    </row>
    <row r="191" spans="1:27" s="17" customFormat="1" x14ac:dyDescent="0.35">
      <c r="A191" s="21"/>
      <c r="B191" s="21"/>
      <c r="D191" s="21" t="s">
        <v>93</v>
      </c>
      <c r="E191" s="21" t="s">
        <v>14</v>
      </c>
      <c r="G191" s="17">
        <v>2</v>
      </c>
      <c r="H191" s="93"/>
      <c r="T191"/>
      <c r="U191"/>
      <c r="V191"/>
      <c r="W191"/>
      <c r="X191"/>
      <c r="Y191"/>
      <c r="Z191"/>
      <c r="AA191"/>
    </row>
    <row r="192" spans="1:27" s="17" customFormat="1" x14ac:dyDescent="0.35">
      <c r="A192" s="21"/>
      <c r="B192" s="21"/>
      <c r="D192" s="21" t="s">
        <v>88</v>
      </c>
      <c r="E192" s="21" t="s">
        <v>23</v>
      </c>
      <c r="G192" s="17">
        <v>2</v>
      </c>
      <c r="H192" s="93"/>
      <c r="T192"/>
      <c r="U192"/>
      <c r="V192"/>
      <c r="W192"/>
      <c r="X192"/>
      <c r="Y192"/>
      <c r="Z192"/>
      <c r="AA192"/>
    </row>
    <row r="193" spans="1:27" s="17" customFormat="1" x14ac:dyDescent="0.35">
      <c r="A193" s="21"/>
      <c r="B193" s="21"/>
      <c r="D193" s="21" t="s">
        <v>85</v>
      </c>
      <c r="E193" s="21" t="s">
        <v>22</v>
      </c>
      <c r="G193" s="17">
        <v>2</v>
      </c>
      <c r="H193" s="93"/>
      <c r="T193"/>
      <c r="U193"/>
      <c r="V193"/>
      <c r="W193"/>
      <c r="X193"/>
      <c r="Y193"/>
      <c r="Z193"/>
      <c r="AA193"/>
    </row>
    <row r="194" spans="1:27" s="17" customFormat="1" x14ac:dyDescent="0.35">
      <c r="A194" s="21"/>
      <c r="B194" s="21"/>
      <c r="D194" s="21" t="s">
        <v>79</v>
      </c>
      <c r="E194" s="21" t="s">
        <v>73</v>
      </c>
      <c r="G194" s="17">
        <v>4</v>
      </c>
      <c r="H194" s="93"/>
      <c r="T194"/>
      <c r="U194"/>
      <c r="V194"/>
      <c r="W194"/>
      <c r="X194"/>
      <c r="Y194"/>
      <c r="Z194"/>
      <c r="AA194"/>
    </row>
    <row r="195" spans="1:27" s="17" customFormat="1" x14ac:dyDescent="0.35">
      <c r="A195" s="21"/>
      <c r="B195" s="21"/>
      <c r="D195" s="21" t="s">
        <v>94</v>
      </c>
      <c r="E195" s="21" t="s">
        <v>18</v>
      </c>
      <c r="G195" s="17">
        <v>48</v>
      </c>
      <c r="H195" s="93"/>
      <c r="T195"/>
      <c r="U195"/>
      <c r="V195"/>
      <c r="W195"/>
      <c r="X195"/>
      <c r="Y195"/>
      <c r="Z195"/>
      <c r="AA195"/>
    </row>
    <row r="196" spans="1:27" s="17" customFormat="1" x14ac:dyDescent="0.35">
      <c r="A196" s="21"/>
      <c r="B196" s="21"/>
      <c r="D196" s="21" t="s">
        <v>127</v>
      </c>
      <c r="E196" s="21" t="s">
        <v>128</v>
      </c>
      <c r="G196" s="17">
        <v>2</v>
      </c>
      <c r="H196" s="93"/>
      <c r="T196"/>
      <c r="U196"/>
      <c r="V196"/>
      <c r="W196"/>
      <c r="X196"/>
      <c r="Y196"/>
      <c r="Z196"/>
      <c r="AA196"/>
    </row>
    <row r="197" spans="1:27" s="17" customFormat="1" x14ac:dyDescent="0.35">
      <c r="A197" s="21"/>
      <c r="B197" s="21"/>
      <c r="D197" s="21" t="s">
        <v>641</v>
      </c>
      <c r="E197" s="21" t="s">
        <v>642</v>
      </c>
      <c r="G197" s="17">
        <v>10</v>
      </c>
      <c r="H197" s="93"/>
      <c r="T197"/>
      <c r="U197"/>
      <c r="V197"/>
      <c r="W197"/>
      <c r="X197"/>
      <c r="Y197"/>
      <c r="Z197"/>
      <c r="AA197"/>
    </row>
    <row r="198" spans="1:27" s="49" customFormat="1" ht="21.75" thickBot="1" x14ac:dyDescent="0.4">
      <c r="A198" s="48"/>
      <c r="B198" s="48"/>
      <c r="D198" s="48"/>
      <c r="E198" s="48"/>
      <c r="H198" s="94"/>
      <c r="T198" s="76"/>
      <c r="U198" s="76"/>
      <c r="V198" s="76"/>
      <c r="W198" s="76"/>
      <c r="X198" s="76"/>
      <c r="Y198" s="76"/>
      <c r="Z198" s="76"/>
      <c r="AA198" s="76"/>
    </row>
    <row r="199" spans="1:27" s="47" customFormat="1" x14ac:dyDescent="0.35">
      <c r="A199" s="46" t="s">
        <v>74</v>
      </c>
      <c r="B199" s="46" t="s">
        <v>226</v>
      </c>
      <c r="C199" s="53">
        <v>4989</v>
      </c>
      <c r="D199" s="46" t="s">
        <v>76</v>
      </c>
      <c r="E199" s="46" t="s">
        <v>150</v>
      </c>
      <c r="F199" s="47" t="s">
        <v>303</v>
      </c>
      <c r="G199" s="47">
        <v>1</v>
      </c>
      <c r="H199" s="95">
        <v>46171</v>
      </c>
      <c r="L199" s="47">
        <v>0.5</v>
      </c>
      <c r="T199"/>
      <c r="U199"/>
      <c r="V199"/>
      <c r="W199"/>
      <c r="X199"/>
      <c r="Y199"/>
      <c r="Z199"/>
      <c r="AA199"/>
    </row>
    <row r="200" spans="1:27" s="17" customFormat="1" x14ac:dyDescent="0.35">
      <c r="A200" s="21"/>
      <c r="B200" s="21"/>
      <c r="D200" s="21" t="s">
        <v>80</v>
      </c>
      <c r="E200" s="21" t="s">
        <v>19</v>
      </c>
      <c r="G200" s="17">
        <v>1</v>
      </c>
      <c r="H200" s="93"/>
      <c r="L200" s="17">
        <v>1</v>
      </c>
      <c r="T200"/>
      <c r="U200"/>
      <c r="V200"/>
      <c r="W200"/>
      <c r="X200"/>
      <c r="Y200"/>
      <c r="Z200"/>
      <c r="AA200"/>
    </row>
    <row r="201" spans="1:27" s="17" customFormat="1" x14ac:dyDescent="0.35">
      <c r="A201" s="21"/>
      <c r="B201" s="21"/>
      <c r="D201" s="21" t="s">
        <v>77</v>
      </c>
      <c r="E201" s="21" t="s">
        <v>20</v>
      </c>
      <c r="G201" s="17">
        <v>1</v>
      </c>
      <c r="H201" s="93"/>
      <c r="T201"/>
      <c r="U201"/>
      <c r="V201"/>
      <c r="W201"/>
      <c r="X201"/>
      <c r="Y201"/>
      <c r="Z201"/>
      <c r="AA201"/>
    </row>
    <row r="202" spans="1:27" s="17" customFormat="1" x14ac:dyDescent="0.35">
      <c r="A202" s="21"/>
      <c r="B202" s="21"/>
      <c r="D202" s="21" t="s">
        <v>83</v>
      </c>
      <c r="E202" s="21" t="s">
        <v>12</v>
      </c>
      <c r="G202" s="17">
        <v>1</v>
      </c>
      <c r="H202" s="93"/>
      <c r="T202"/>
      <c r="U202"/>
      <c r="V202"/>
      <c r="W202"/>
      <c r="X202"/>
      <c r="Y202"/>
      <c r="Z202"/>
      <c r="AA202"/>
    </row>
    <row r="203" spans="1:27" s="17" customFormat="1" x14ac:dyDescent="0.35">
      <c r="A203" s="21"/>
      <c r="B203" s="21"/>
      <c r="D203" s="21" t="s">
        <v>84</v>
      </c>
      <c r="E203" s="21" t="s">
        <v>13</v>
      </c>
      <c r="G203" s="17">
        <v>1</v>
      </c>
      <c r="H203" s="93"/>
      <c r="T203"/>
      <c r="U203"/>
      <c r="V203"/>
      <c r="W203"/>
      <c r="X203"/>
      <c r="Y203"/>
      <c r="Z203"/>
      <c r="AA203"/>
    </row>
    <row r="204" spans="1:27" s="17" customFormat="1" x14ac:dyDescent="0.35">
      <c r="A204" s="21"/>
      <c r="B204" s="21"/>
      <c r="D204" s="21" t="s">
        <v>78</v>
      </c>
      <c r="E204" s="21" t="s">
        <v>16</v>
      </c>
      <c r="G204" s="17">
        <v>1</v>
      </c>
      <c r="H204" s="93"/>
      <c r="T204"/>
      <c r="U204"/>
      <c r="V204"/>
      <c r="W204"/>
      <c r="X204"/>
      <c r="Y204"/>
      <c r="Z204"/>
      <c r="AA204"/>
    </row>
    <row r="205" spans="1:27" s="17" customFormat="1" x14ac:dyDescent="0.35">
      <c r="A205" s="21"/>
      <c r="B205" s="21"/>
      <c r="D205" s="21" t="s">
        <v>93</v>
      </c>
      <c r="E205" s="21" t="s">
        <v>14</v>
      </c>
      <c r="G205" s="17">
        <v>1</v>
      </c>
      <c r="H205" s="93"/>
      <c r="L205" s="17">
        <v>1</v>
      </c>
      <c r="T205"/>
      <c r="U205"/>
      <c r="V205"/>
      <c r="W205"/>
      <c r="X205"/>
      <c r="Y205"/>
      <c r="Z205"/>
      <c r="AA205"/>
    </row>
    <row r="206" spans="1:27" s="17" customFormat="1" x14ac:dyDescent="0.35">
      <c r="A206" s="21"/>
      <c r="B206" s="21"/>
      <c r="D206" s="21" t="s">
        <v>123</v>
      </c>
      <c r="E206" s="21" t="s">
        <v>25</v>
      </c>
      <c r="G206" s="17">
        <v>1</v>
      </c>
      <c r="H206" s="93"/>
      <c r="L206" s="17">
        <v>1</v>
      </c>
      <c r="T206"/>
      <c r="U206"/>
      <c r="V206"/>
      <c r="W206"/>
      <c r="X206"/>
      <c r="Y206"/>
      <c r="Z206"/>
      <c r="AA206"/>
    </row>
    <row r="207" spans="1:27" s="17" customFormat="1" x14ac:dyDescent="0.35">
      <c r="A207" s="21"/>
      <c r="B207" s="21"/>
      <c r="D207" s="21" t="s">
        <v>87</v>
      </c>
      <c r="E207" s="21" t="s">
        <v>21</v>
      </c>
      <c r="G207" s="17">
        <v>1</v>
      </c>
      <c r="H207" s="93"/>
      <c r="L207" s="17">
        <v>1</v>
      </c>
      <c r="T207"/>
      <c r="U207"/>
      <c r="V207"/>
      <c r="W207"/>
      <c r="X207"/>
      <c r="Y207"/>
      <c r="Z207"/>
      <c r="AA207"/>
    </row>
    <row r="208" spans="1:27" s="17" customFormat="1" x14ac:dyDescent="0.35">
      <c r="A208" s="21"/>
      <c r="B208" s="21"/>
      <c r="D208" s="21" t="s">
        <v>79</v>
      </c>
      <c r="E208" s="21" t="s">
        <v>73</v>
      </c>
      <c r="G208" s="17">
        <v>1</v>
      </c>
      <c r="H208" s="93"/>
      <c r="L208" s="17">
        <v>1</v>
      </c>
      <c r="T208"/>
      <c r="U208"/>
      <c r="V208"/>
      <c r="W208"/>
      <c r="X208"/>
      <c r="Y208"/>
      <c r="Z208"/>
      <c r="AA208"/>
    </row>
    <row r="209" spans="1:27" s="17" customFormat="1" x14ac:dyDescent="0.35">
      <c r="A209" s="21"/>
      <c r="B209" s="21"/>
      <c r="D209" s="21" t="s">
        <v>75</v>
      </c>
      <c r="E209" s="21" t="s">
        <v>55</v>
      </c>
      <c r="G209" s="17">
        <v>1</v>
      </c>
      <c r="H209" s="93"/>
      <c r="L209" s="17">
        <v>1</v>
      </c>
      <c r="T209"/>
      <c r="U209"/>
      <c r="V209"/>
      <c r="W209"/>
      <c r="X209"/>
      <c r="Y209"/>
      <c r="Z209"/>
      <c r="AA209"/>
    </row>
    <row r="210" spans="1:27" s="17" customFormat="1" x14ac:dyDescent="0.35">
      <c r="A210" s="21"/>
      <c r="B210" s="21"/>
      <c r="D210" s="21" t="s">
        <v>224</v>
      </c>
      <c r="E210" s="21" t="s">
        <v>153</v>
      </c>
      <c r="G210" s="17">
        <v>1</v>
      </c>
      <c r="H210" s="93"/>
      <c r="L210" s="17">
        <v>1</v>
      </c>
      <c r="T210"/>
      <c r="U210"/>
      <c r="V210"/>
      <c r="W210"/>
      <c r="X210"/>
      <c r="Y210"/>
      <c r="Z210"/>
      <c r="AA210"/>
    </row>
    <row r="211" spans="1:27" s="17" customFormat="1" x14ac:dyDescent="0.35">
      <c r="A211" s="21"/>
      <c r="B211" s="21"/>
      <c r="D211" s="21" t="s">
        <v>342</v>
      </c>
      <c r="E211" s="21" t="s">
        <v>343</v>
      </c>
      <c r="G211" s="17">
        <v>1</v>
      </c>
      <c r="H211" s="93"/>
      <c r="L211" s="17">
        <v>1</v>
      </c>
      <c r="T211"/>
      <c r="U211"/>
      <c r="V211"/>
      <c r="W211"/>
      <c r="X211"/>
      <c r="Y211"/>
      <c r="Z211"/>
      <c r="AA211"/>
    </row>
    <row r="212" spans="1:27" s="17" customFormat="1" x14ac:dyDescent="0.35">
      <c r="A212" s="21"/>
      <c r="B212" s="21"/>
      <c r="D212" s="21" t="s">
        <v>94</v>
      </c>
      <c r="E212" s="21" t="s">
        <v>18</v>
      </c>
      <c r="G212" s="17">
        <v>24</v>
      </c>
      <c r="H212" s="93"/>
      <c r="T212"/>
      <c r="U212"/>
      <c r="V212"/>
      <c r="W212"/>
      <c r="X212"/>
      <c r="Y212"/>
      <c r="Z212"/>
      <c r="AA212"/>
    </row>
    <row r="213" spans="1:27" s="49" customFormat="1" ht="21.75" thickBot="1" x14ac:dyDescent="0.4">
      <c r="A213" s="48"/>
      <c r="B213" s="48"/>
      <c r="D213" s="48"/>
      <c r="E213" s="48"/>
      <c r="H213" s="94"/>
      <c r="T213" s="76"/>
      <c r="U213" s="76"/>
      <c r="V213" s="76"/>
      <c r="W213" s="76"/>
      <c r="X213" s="76"/>
      <c r="Y213" s="76"/>
      <c r="Z213" s="76"/>
      <c r="AA213" s="76"/>
    </row>
    <row r="214" spans="1:27" s="47" customFormat="1" x14ac:dyDescent="0.35">
      <c r="A214" s="46" t="s">
        <v>11</v>
      </c>
      <c r="B214" s="46" t="s">
        <v>163</v>
      </c>
      <c r="C214" s="54">
        <v>4990</v>
      </c>
      <c r="D214" s="46" t="s">
        <v>410</v>
      </c>
      <c r="E214" s="46" t="s">
        <v>411</v>
      </c>
      <c r="F214" s="47" t="s">
        <v>376</v>
      </c>
      <c r="G214" s="47">
        <v>10</v>
      </c>
      <c r="H214" s="95">
        <v>46171</v>
      </c>
      <c r="T214"/>
      <c r="U214"/>
      <c r="V214"/>
      <c r="W214"/>
      <c r="X214"/>
      <c r="Y214"/>
      <c r="Z214"/>
      <c r="AA214"/>
    </row>
    <row r="215" spans="1:27" s="17" customFormat="1" x14ac:dyDescent="0.35">
      <c r="A215" s="21"/>
      <c r="B215" s="21"/>
      <c r="D215" s="21" t="s">
        <v>143</v>
      </c>
      <c r="E215" s="21" t="s">
        <v>287</v>
      </c>
      <c r="G215" s="17">
        <v>10</v>
      </c>
      <c r="H215" s="93"/>
      <c r="K215" s="17">
        <v>7.5</v>
      </c>
      <c r="M215" s="17">
        <v>7.5</v>
      </c>
      <c r="N215" s="17">
        <v>7.5</v>
      </c>
      <c r="T215"/>
      <c r="U215"/>
      <c r="V215"/>
      <c r="W215"/>
      <c r="X215"/>
      <c r="Y215"/>
      <c r="Z215"/>
      <c r="AA215"/>
    </row>
    <row r="216" spans="1:27" s="17" customFormat="1" x14ac:dyDescent="0.35">
      <c r="A216" s="21"/>
      <c r="B216" s="21"/>
      <c r="D216" s="21" t="s">
        <v>79</v>
      </c>
      <c r="E216" s="21" t="s">
        <v>638</v>
      </c>
      <c r="G216" s="17">
        <v>20</v>
      </c>
      <c r="H216" s="93"/>
      <c r="K216" s="17">
        <v>5</v>
      </c>
      <c r="M216" s="17">
        <v>5</v>
      </c>
      <c r="N216" s="17">
        <v>5</v>
      </c>
      <c r="T216"/>
      <c r="U216"/>
      <c r="V216"/>
      <c r="W216"/>
      <c r="X216"/>
      <c r="Y216"/>
      <c r="Z216"/>
      <c r="AA216"/>
    </row>
    <row r="217" spans="1:27" s="17" customFormat="1" x14ac:dyDescent="0.35">
      <c r="A217" s="21"/>
      <c r="B217" s="21"/>
      <c r="D217" s="21" t="s">
        <v>620</v>
      </c>
      <c r="E217" s="21" t="s">
        <v>621</v>
      </c>
      <c r="G217" s="17">
        <v>10</v>
      </c>
      <c r="H217" s="93"/>
      <c r="T217"/>
      <c r="U217"/>
      <c r="V217"/>
      <c r="W217"/>
      <c r="X217"/>
      <c r="Y217"/>
      <c r="Z217"/>
      <c r="AA217"/>
    </row>
    <row r="218" spans="1:27" s="49" customFormat="1" ht="21.75" thickBot="1" x14ac:dyDescent="0.4">
      <c r="A218" s="48"/>
      <c r="B218" s="48"/>
      <c r="D218" s="48"/>
      <c r="E218" s="48"/>
      <c r="H218" s="94"/>
      <c r="T218" s="76"/>
      <c r="U218" s="76"/>
      <c r="V218" s="76"/>
      <c r="W218" s="76"/>
      <c r="X218" s="76"/>
      <c r="Y218" s="76"/>
      <c r="Z218" s="76"/>
      <c r="AA218" s="76"/>
    </row>
    <row r="219" spans="1:27" s="47" customFormat="1" x14ac:dyDescent="0.35">
      <c r="A219" s="46" t="s">
        <v>11</v>
      </c>
      <c r="B219" s="46" t="s">
        <v>163</v>
      </c>
      <c r="C219" s="53">
        <v>4991</v>
      </c>
      <c r="D219" s="46" t="s">
        <v>410</v>
      </c>
      <c r="E219" s="46" t="s">
        <v>411</v>
      </c>
      <c r="F219" s="47" t="s">
        <v>376</v>
      </c>
      <c r="G219" s="47">
        <v>4</v>
      </c>
      <c r="H219" s="95">
        <v>46174</v>
      </c>
      <c r="K219" s="47">
        <v>8</v>
      </c>
      <c r="N219" s="47">
        <v>8</v>
      </c>
      <c r="T219"/>
      <c r="U219"/>
      <c r="V219"/>
      <c r="W219"/>
      <c r="X219"/>
      <c r="Y219"/>
      <c r="Z219"/>
      <c r="AA219"/>
    </row>
    <row r="220" spans="1:27" s="17" customFormat="1" x14ac:dyDescent="0.35">
      <c r="A220" s="21"/>
      <c r="B220" s="21"/>
      <c r="D220" s="21" t="s">
        <v>143</v>
      </c>
      <c r="E220" s="21" t="s">
        <v>287</v>
      </c>
      <c r="G220" s="17">
        <v>4</v>
      </c>
      <c r="H220" s="93"/>
      <c r="K220" s="17">
        <v>6</v>
      </c>
      <c r="N220" s="17">
        <v>6</v>
      </c>
      <c r="T220"/>
      <c r="U220"/>
      <c r="V220"/>
      <c r="W220"/>
      <c r="X220"/>
      <c r="Y220"/>
      <c r="Z220"/>
      <c r="AA220"/>
    </row>
    <row r="221" spans="1:27" s="17" customFormat="1" x14ac:dyDescent="0.35">
      <c r="A221" s="21"/>
      <c r="B221" s="21"/>
      <c r="D221" s="21" t="s">
        <v>79</v>
      </c>
      <c r="E221" s="21" t="s">
        <v>73</v>
      </c>
      <c r="G221" s="17">
        <v>8</v>
      </c>
      <c r="H221" s="93"/>
      <c r="K221" s="17">
        <v>4</v>
      </c>
      <c r="N221" s="17">
        <v>4</v>
      </c>
      <c r="T221"/>
      <c r="U221"/>
      <c r="V221"/>
      <c r="W221"/>
      <c r="X221"/>
      <c r="Y221"/>
      <c r="Z221"/>
      <c r="AA221"/>
    </row>
    <row r="222" spans="1:27" s="17" customFormat="1" x14ac:dyDescent="0.35">
      <c r="A222" s="21"/>
      <c r="B222" s="21"/>
      <c r="D222" s="21" t="s">
        <v>620</v>
      </c>
      <c r="E222" s="21" t="s">
        <v>621</v>
      </c>
      <c r="G222" s="17">
        <v>4</v>
      </c>
      <c r="H222" s="93"/>
      <c r="T222"/>
      <c r="U222"/>
      <c r="V222"/>
      <c r="W222"/>
      <c r="X222"/>
      <c r="Y222"/>
      <c r="Z222"/>
      <c r="AA222"/>
    </row>
    <row r="223" spans="1:27" s="49" customFormat="1" ht="21.75" thickBot="1" x14ac:dyDescent="0.4">
      <c r="A223" s="48"/>
      <c r="B223" s="48"/>
      <c r="D223" s="48"/>
      <c r="E223" s="48"/>
      <c r="H223" s="94"/>
      <c r="T223" s="76"/>
      <c r="U223" s="76"/>
      <c r="V223" s="76"/>
      <c r="W223" s="76"/>
      <c r="X223" s="76"/>
      <c r="Y223" s="76"/>
      <c r="Z223" s="76"/>
      <c r="AA223" s="76"/>
    </row>
    <row r="224" spans="1:27" s="47" customFormat="1" x14ac:dyDescent="0.35">
      <c r="A224" s="46" t="s">
        <v>643</v>
      </c>
      <c r="B224" s="46" t="s">
        <v>644</v>
      </c>
      <c r="C224" s="53">
        <v>4992</v>
      </c>
      <c r="D224" s="46" t="s">
        <v>242</v>
      </c>
      <c r="E224" s="46" t="s">
        <v>243</v>
      </c>
      <c r="F224" s="47" t="s">
        <v>645</v>
      </c>
      <c r="G224" s="47">
        <v>1</v>
      </c>
      <c r="H224" s="95">
        <v>46174</v>
      </c>
      <c r="T224"/>
      <c r="U224"/>
      <c r="V224"/>
      <c r="W224"/>
      <c r="X224"/>
      <c r="Y224"/>
      <c r="Z224"/>
      <c r="AA224"/>
    </row>
    <row r="225" spans="1:27" s="49" customFormat="1" ht="21.75" thickBot="1" x14ac:dyDescent="0.4">
      <c r="A225" s="48"/>
      <c r="B225" s="48"/>
      <c r="D225" s="48"/>
      <c r="E225" s="48"/>
      <c r="H225" s="94"/>
      <c r="T225" s="76"/>
      <c r="U225" s="76"/>
      <c r="V225" s="76"/>
      <c r="W225" s="76"/>
      <c r="X225" s="76"/>
      <c r="Y225" s="76"/>
      <c r="Z225" s="76"/>
      <c r="AA225" s="76"/>
    </row>
    <row r="226" spans="1:27" s="47" customFormat="1" x14ac:dyDescent="0.35">
      <c r="A226" s="46" t="s">
        <v>74</v>
      </c>
      <c r="B226" s="46" t="s">
        <v>226</v>
      </c>
      <c r="C226" s="53">
        <v>4993</v>
      </c>
      <c r="D226" s="46" t="s">
        <v>76</v>
      </c>
      <c r="E226" s="46" t="s">
        <v>150</v>
      </c>
      <c r="F226" s="47" t="s">
        <v>303</v>
      </c>
      <c r="G226" s="47">
        <v>2</v>
      </c>
      <c r="H226" s="95">
        <v>46175</v>
      </c>
      <c r="L226" s="47">
        <v>0.5</v>
      </c>
      <c r="T226"/>
      <c r="U226"/>
      <c r="V226"/>
      <c r="W226"/>
      <c r="X226"/>
      <c r="Y226"/>
      <c r="Z226"/>
      <c r="AA226"/>
    </row>
    <row r="227" spans="1:27" s="17" customFormat="1" x14ac:dyDescent="0.35">
      <c r="A227" s="21"/>
      <c r="B227" s="21"/>
      <c r="D227" s="21" t="s">
        <v>174</v>
      </c>
      <c r="E227" s="21" t="s">
        <v>175</v>
      </c>
      <c r="G227" s="17">
        <v>2</v>
      </c>
      <c r="H227" s="93"/>
      <c r="T227"/>
      <c r="U227"/>
      <c r="V227"/>
      <c r="W227"/>
      <c r="X227"/>
      <c r="Y227"/>
      <c r="Z227"/>
      <c r="AA227"/>
    </row>
    <row r="228" spans="1:27" s="49" customFormat="1" ht="21.75" thickBot="1" x14ac:dyDescent="0.4">
      <c r="A228" s="48"/>
      <c r="B228" s="48"/>
      <c r="D228" s="48"/>
      <c r="E228" s="48"/>
      <c r="H228" s="94"/>
      <c r="T228" s="76"/>
      <c r="U228" s="76"/>
      <c r="V228" s="76"/>
      <c r="W228" s="76"/>
      <c r="X228" s="76"/>
      <c r="Y228" s="76"/>
      <c r="Z228" s="76"/>
      <c r="AA228" s="76"/>
    </row>
    <row r="229" spans="1:27" s="47" customFormat="1" x14ac:dyDescent="0.35">
      <c r="A229" s="46" t="s">
        <v>11</v>
      </c>
      <c r="B229" s="46" t="s">
        <v>163</v>
      </c>
      <c r="C229" s="54">
        <v>4994</v>
      </c>
      <c r="D229" s="46" t="s">
        <v>76</v>
      </c>
      <c r="E229" s="46" t="s">
        <v>150</v>
      </c>
      <c r="F229" s="47" t="s">
        <v>376</v>
      </c>
      <c r="G229" s="47">
        <v>1</v>
      </c>
      <c r="H229" s="95">
        <v>46175</v>
      </c>
      <c r="K229" s="47">
        <v>1</v>
      </c>
      <c r="T229"/>
      <c r="U229"/>
      <c r="V229"/>
      <c r="W229"/>
      <c r="X229"/>
      <c r="Y229"/>
      <c r="Z229"/>
      <c r="AA229"/>
    </row>
    <row r="230" spans="1:27" s="49" customFormat="1" ht="21.75" thickBot="1" x14ac:dyDescent="0.4">
      <c r="A230" s="48"/>
      <c r="B230" s="48"/>
      <c r="D230" s="48"/>
      <c r="E230" s="48"/>
      <c r="H230" s="94"/>
      <c r="T230" s="76"/>
      <c r="U230" s="76"/>
      <c r="V230" s="76"/>
      <c r="W230" s="76"/>
      <c r="X230" s="76"/>
      <c r="Y230" s="76"/>
      <c r="Z230" s="76"/>
      <c r="AA230" s="76"/>
    </row>
    <row r="231" spans="1:27" s="47" customFormat="1" x14ac:dyDescent="0.35">
      <c r="A231" s="46" t="s">
        <v>11</v>
      </c>
      <c r="B231" s="46" t="s">
        <v>163</v>
      </c>
      <c r="C231" s="53">
        <v>4995</v>
      </c>
      <c r="D231" s="46" t="s">
        <v>322</v>
      </c>
      <c r="E231" s="46" t="s">
        <v>323</v>
      </c>
      <c r="F231" s="47" t="s">
        <v>646</v>
      </c>
      <c r="G231" s="47">
        <v>1</v>
      </c>
      <c r="H231" s="95">
        <v>46175</v>
      </c>
      <c r="T231"/>
      <c r="U231"/>
      <c r="V231"/>
      <c r="W231"/>
      <c r="X231"/>
      <c r="Y231"/>
      <c r="Z231"/>
      <c r="AA231"/>
    </row>
    <row r="232" spans="1:27" s="17" customFormat="1" x14ac:dyDescent="0.35">
      <c r="A232" s="21"/>
      <c r="B232" s="21"/>
      <c r="D232" s="21" t="s">
        <v>157</v>
      </c>
      <c r="E232" s="21" t="s">
        <v>158</v>
      </c>
      <c r="F232" s="108" t="s">
        <v>772</v>
      </c>
      <c r="G232" s="17">
        <v>1</v>
      </c>
      <c r="H232" s="93"/>
      <c r="T232"/>
      <c r="U232"/>
      <c r="V232"/>
      <c r="W232"/>
      <c r="X232"/>
      <c r="Y232"/>
      <c r="Z232"/>
      <c r="AA232"/>
    </row>
    <row r="233" spans="1:27" s="49" customFormat="1" ht="21.75" thickBot="1" x14ac:dyDescent="0.4">
      <c r="A233" s="48"/>
      <c r="B233" s="48"/>
      <c r="D233" s="48"/>
      <c r="E233" s="48"/>
      <c r="H233" s="94"/>
      <c r="T233" s="76"/>
      <c r="U233" s="76"/>
      <c r="V233" s="76"/>
      <c r="W233" s="76"/>
      <c r="X233" s="76"/>
      <c r="Y233" s="76"/>
      <c r="Z233" s="76"/>
      <c r="AA233" s="76"/>
    </row>
    <row r="234" spans="1:27" s="47" customFormat="1" x14ac:dyDescent="0.35">
      <c r="A234" s="46" t="s">
        <v>446</v>
      </c>
      <c r="B234" s="46" t="s">
        <v>220</v>
      </c>
      <c r="C234" s="51">
        <v>4996</v>
      </c>
      <c r="D234" s="46" t="s">
        <v>76</v>
      </c>
      <c r="E234" s="46" t="s">
        <v>150</v>
      </c>
      <c r="F234" s="47" t="s">
        <v>647</v>
      </c>
      <c r="G234" s="47">
        <v>1</v>
      </c>
      <c r="H234" s="95">
        <v>46175</v>
      </c>
      <c r="T234"/>
      <c r="U234"/>
      <c r="V234"/>
      <c r="W234"/>
      <c r="X234"/>
      <c r="Y234"/>
      <c r="Z234"/>
      <c r="AA234"/>
    </row>
    <row r="235" spans="1:27" s="17" customFormat="1" x14ac:dyDescent="0.35">
      <c r="A235" s="21"/>
      <c r="B235" s="21"/>
      <c r="D235" s="21" t="s">
        <v>103</v>
      </c>
      <c r="E235" s="21" t="s">
        <v>70</v>
      </c>
      <c r="G235" s="17">
        <v>1</v>
      </c>
      <c r="H235" s="93"/>
      <c r="T235"/>
      <c r="U235"/>
      <c r="V235"/>
      <c r="W235"/>
      <c r="X235"/>
      <c r="Y235"/>
      <c r="Z235"/>
      <c r="AA235"/>
    </row>
    <row r="236" spans="1:27" s="17" customFormat="1" x14ac:dyDescent="0.35">
      <c r="A236" s="21"/>
      <c r="B236" s="21"/>
      <c r="D236" s="21" t="s">
        <v>93</v>
      </c>
      <c r="E236" s="21" t="s">
        <v>14</v>
      </c>
      <c r="G236" s="17">
        <v>1</v>
      </c>
      <c r="H236" s="93"/>
      <c r="T236"/>
      <c r="U236"/>
      <c r="V236"/>
      <c r="W236"/>
      <c r="X236"/>
      <c r="Y236"/>
      <c r="Z236"/>
      <c r="AA236"/>
    </row>
    <row r="237" spans="1:27" s="17" customFormat="1" x14ac:dyDescent="0.35">
      <c r="A237" s="21"/>
      <c r="B237" s="21"/>
      <c r="D237" s="21" t="s">
        <v>278</v>
      </c>
      <c r="E237" s="21" t="s">
        <v>279</v>
      </c>
      <c r="G237" s="17">
        <v>24</v>
      </c>
      <c r="H237" s="93"/>
      <c r="T237"/>
      <c r="U237"/>
      <c r="V237"/>
      <c r="W237"/>
      <c r="X237"/>
      <c r="Y237"/>
      <c r="Z237"/>
      <c r="AA237"/>
    </row>
    <row r="238" spans="1:27" s="49" customFormat="1" ht="21.75" thickBot="1" x14ac:dyDescent="0.4">
      <c r="A238" s="48"/>
      <c r="B238" s="48"/>
      <c r="D238" s="48"/>
      <c r="E238" s="48"/>
      <c r="H238" s="94"/>
      <c r="T238" s="76"/>
      <c r="U238" s="76"/>
      <c r="V238" s="76"/>
      <c r="W238" s="76"/>
      <c r="X238" s="76"/>
      <c r="Y238" s="76"/>
      <c r="Z238" s="76"/>
      <c r="AA238" s="76"/>
    </row>
    <row r="239" spans="1:27" s="47" customFormat="1" x14ac:dyDescent="0.35">
      <c r="A239" s="46" t="s">
        <v>648</v>
      </c>
      <c r="B239" s="46" t="s">
        <v>649</v>
      </c>
      <c r="C239" s="53">
        <v>4997</v>
      </c>
      <c r="D239" s="46" t="s">
        <v>76</v>
      </c>
      <c r="E239" s="46" t="s">
        <v>150</v>
      </c>
      <c r="F239" s="47" t="s">
        <v>389</v>
      </c>
      <c r="G239" s="47">
        <v>1</v>
      </c>
      <c r="H239" s="95">
        <v>46175</v>
      </c>
      <c r="I239" s="47">
        <v>0.25</v>
      </c>
      <c r="J239" s="47">
        <v>0.25</v>
      </c>
      <c r="T239"/>
      <c r="U239"/>
      <c r="V239"/>
      <c r="W239"/>
      <c r="X239"/>
      <c r="Y239"/>
      <c r="Z239"/>
      <c r="AA239"/>
    </row>
    <row r="240" spans="1:27" s="17" customFormat="1" x14ac:dyDescent="0.35">
      <c r="A240" s="21"/>
      <c r="B240" s="21"/>
      <c r="D240" s="21" t="s">
        <v>141</v>
      </c>
      <c r="E240" s="21" t="s">
        <v>151</v>
      </c>
      <c r="G240" s="17">
        <v>1</v>
      </c>
      <c r="H240" s="93"/>
      <c r="I240" s="17">
        <v>0.5</v>
      </c>
      <c r="J240" s="17">
        <v>0.5</v>
      </c>
      <c r="T240"/>
      <c r="U240"/>
      <c r="V240"/>
      <c r="W240"/>
      <c r="X240"/>
      <c r="Y240"/>
      <c r="Z240"/>
      <c r="AA240"/>
    </row>
    <row r="241" spans="1:27" s="17" customFormat="1" x14ac:dyDescent="0.35">
      <c r="A241" s="21"/>
      <c r="B241" s="21"/>
      <c r="D241" s="21" t="s">
        <v>77</v>
      </c>
      <c r="E241" s="21" t="s">
        <v>20</v>
      </c>
      <c r="G241" s="17">
        <v>1</v>
      </c>
      <c r="H241" s="93"/>
      <c r="T241"/>
      <c r="U241"/>
      <c r="V241"/>
      <c r="W241"/>
      <c r="X241"/>
      <c r="Y241"/>
      <c r="Z241"/>
      <c r="AA241"/>
    </row>
    <row r="242" spans="1:27" s="17" customFormat="1" x14ac:dyDescent="0.35">
      <c r="A242" s="21"/>
      <c r="B242" s="21"/>
      <c r="D242" s="21" t="s">
        <v>78</v>
      </c>
      <c r="E242" s="21" t="s">
        <v>16</v>
      </c>
      <c r="G242" s="17">
        <v>1</v>
      </c>
      <c r="H242" s="93"/>
      <c r="T242"/>
      <c r="U242"/>
      <c r="V242"/>
      <c r="W242"/>
      <c r="X242"/>
      <c r="Y242"/>
      <c r="Z242"/>
      <c r="AA242"/>
    </row>
    <row r="243" spans="1:27" s="17" customFormat="1" x14ac:dyDescent="0.35">
      <c r="A243" s="21"/>
      <c r="B243" s="21"/>
      <c r="D243" s="21" t="s">
        <v>83</v>
      </c>
      <c r="E243" s="21" t="s">
        <v>12</v>
      </c>
      <c r="G243" s="17">
        <v>1</v>
      </c>
      <c r="H243" s="93"/>
      <c r="T243"/>
      <c r="U243"/>
      <c r="V243"/>
      <c r="W243"/>
      <c r="X243"/>
      <c r="Y243"/>
      <c r="Z243"/>
      <c r="AA243"/>
    </row>
    <row r="244" spans="1:27" s="17" customFormat="1" x14ac:dyDescent="0.35">
      <c r="A244" s="21"/>
      <c r="B244" s="21"/>
      <c r="D244" s="21" t="s">
        <v>84</v>
      </c>
      <c r="E244" s="21" t="s">
        <v>13</v>
      </c>
      <c r="G244" s="17">
        <v>1</v>
      </c>
      <c r="H244" s="93"/>
      <c r="T244"/>
      <c r="U244"/>
      <c r="V244"/>
      <c r="W244"/>
      <c r="X244"/>
      <c r="Y244"/>
      <c r="Z244"/>
      <c r="AA244"/>
    </row>
    <row r="245" spans="1:27" s="17" customFormat="1" x14ac:dyDescent="0.35">
      <c r="A245" s="21"/>
      <c r="B245" s="21"/>
      <c r="D245" s="21" t="s">
        <v>92</v>
      </c>
      <c r="E245" s="21" t="s">
        <v>51</v>
      </c>
      <c r="G245" s="17">
        <v>1</v>
      </c>
      <c r="H245" s="93"/>
      <c r="T245"/>
      <c r="U245"/>
      <c r="V245"/>
      <c r="W245"/>
      <c r="X245"/>
      <c r="Y245"/>
      <c r="Z245"/>
      <c r="AA245"/>
    </row>
    <row r="246" spans="1:27" s="17" customFormat="1" x14ac:dyDescent="0.35">
      <c r="A246" s="21"/>
      <c r="B246" s="21"/>
      <c r="D246" s="21" t="s">
        <v>87</v>
      </c>
      <c r="E246" s="21" t="s">
        <v>21</v>
      </c>
      <c r="G246" s="17">
        <v>1</v>
      </c>
      <c r="H246" s="93"/>
      <c r="I246" s="17">
        <v>2</v>
      </c>
      <c r="J246" s="17">
        <v>0.5</v>
      </c>
      <c r="T246"/>
      <c r="U246"/>
      <c r="V246"/>
      <c r="W246"/>
      <c r="X246"/>
      <c r="Y246"/>
      <c r="Z246"/>
      <c r="AA246"/>
    </row>
    <row r="247" spans="1:27" s="17" customFormat="1" x14ac:dyDescent="0.35">
      <c r="A247" s="21"/>
      <c r="B247" s="21"/>
      <c r="D247" s="21" t="s">
        <v>131</v>
      </c>
      <c r="E247" s="21" t="s">
        <v>72</v>
      </c>
      <c r="G247" s="17">
        <v>1</v>
      </c>
      <c r="H247" s="93"/>
      <c r="I247" s="17">
        <v>2</v>
      </c>
      <c r="J247" s="17">
        <v>0.5</v>
      </c>
      <c r="T247"/>
      <c r="U247"/>
      <c r="V247"/>
      <c r="W247"/>
      <c r="X247"/>
      <c r="Y247"/>
      <c r="Z247"/>
      <c r="AA247"/>
    </row>
    <row r="248" spans="1:27" s="17" customFormat="1" x14ac:dyDescent="0.35">
      <c r="A248" s="21"/>
      <c r="B248" s="21"/>
      <c r="D248" s="21" t="s">
        <v>75</v>
      </c>
      <c r="E248" s="21" t="s">
        <v>55</v>
      </c>
      <c r="G248" s="17">
        <v>1</v>
      </c>
      <c r="H248" s="93"/>
      <c r="I248" s="17">
        <v>2</v>
      </c>
      <c r="J248" s="17">
        <v>0.5</v>
      </c>
      <c r="T248"/>
      <c r="U248"/>
      <c r="V248"/>
      <c r="W248"/>
      <c r="X248"/>
      <c r="Y248"/>
      <c r="Z248"/>
      <c r="AA248"/>
    </row>
    <row r="249" spans="1:27" s="17" customFormat="1" x14ac:dyDescent="0.35">
      <c r="A249" s="21"/>
      <c r="B249" s="21"/>
      <c r="D249" s="21" t="s">
        <v>650</v>
      </c>
      <c r="E249" s="21" t="s">
        <v>651</v>
      </c>
      <c r="G249" s="17">
        <v>1</v>
      </c>
      <c r="H249" s="93"/>
      <c r="I249" s="17">
        <v>2</v>
      </c>
      <c r="J249" s="17">
        <v>0.5</v>
      </c>
      <c r="T249"/>
      <c r="U249"/>
      <c r="V249"/>
      <c r="W249"/>
      <c r="X249"/>
      <c r="Y249"/>
      <c r="Z249"/>
      <c r="AA249"/>
    </row>
    <row r="250" spans="1:27" s="17" customFormat="1" x14ac:dyDescent="0.35">
      <c r="A250" s="21"/>
      <c r="B250" s="21"/>
      <c r="D250" s="21" t="s">
        <v>81</v>
      </c>
      <c r="E250" s="21" t="s">
        <v>15</v>
      </c>
      <c r="G250" s="17">
        <v>1</v>
      </c>
      <c r="H250" s="93"/>
      <c r="I250" s="17">
        <v>0.5</v>
      </c>
      <c r="J250" s="17">
        <v>0.5</v>
      </c>
      <c r="T250"/>
      <c r="U250"/>
      <c r="V250"/>
      <c r="W250"/>
      <c r="X250"/>
      <c r="Y250"/>
      <c r="Z250"/>
      <c r="AA250"/>
    </row>
    <row r="251" spans="1:27" s="17" customFormat="1" x14ac:dyDescent="0.35">
      <c r="A251" s="21"/>
      <c r="B251" s="21"/>
      <c r="D251" s="21" t="s">
        <v>652</v>
      </c>
      <c r="E251" s="21" t="s">
        <v>653</v>
      </c>
      <c r="G251" s="17">
        <v>24</v>
      </c>
      <c r="H251" s="93"/>
      <c r="T251"/>
      <c r="U251"/>
      <c r="V251"/>
      <c r="W251"/>
      <c r="X251"/>
      <c r="Y251"/>
      <c r="Z251"/>
      <c r="AA251"/>
    </row>
    <row r="252" spans="1:27" s="17" customFormat="1" x14ac:dyDescent="0.35">
      <c r="A252" s="21"/>
      <c r="B252" s="21"/>
      <c r="D252" s="21"/>
      <c r="E252" s="21"/>
      <c r="H252" s="93"/>
      <c r="T252"/>
      <c r="U252"/>
      <c r="V252"/>
      <c r="W252"/>
      <c r="X252"/>
      <c r="Y252"/>
      <c r="Z252"/>
      <c r="AA252"/>
    </row>
    <row r="253" spans="1:27" s="49" customFormat="1" ht="21.75" thickBot="1" x14ac:dyDescent="0.4">
      <c r="A253" s="48"/>
      <c r="B253" s="48"/>
      <c r="D253" s="48"/>
      <c r="E253" s="48"/>
      <c r="H253" s="94"/>
      <c r="T253" s="76"/>
      <c r="U253" s="76"/>
      <c r="V253" s="76"/>
      <c r="W253" s="76"/>
      <c r="X253" s="76"/>
      <c r="Y253" s="76"/>
      <c r="Z253" s="76"/>
      <c r="AA253" s="76"/>
    </row>
    <row r="254" spans="1:27" s="47" customFormat="1" x14ac:dyDescent="0.35">
      <c r="A254" s="46" t="s">
        <v>74</v>
      </c>
      <c r="B254" s="46" t="s">
        <v>226</v>
      </c>
      <c r="C254" s="53">
        <v>4998</v>
      </c>
      <c r="D254" s="46" t="s">
        <v>174</v>
      </c>
      <c r="E254" s="46" t="s">
        <v>175</v>
      </c>
      <c r="F254" s="47" t="s">
        <v>28</v>
      </c>
      <c r="G254" s="47">
        <v>1</v>
      </c>
      <c r="H254" s="95">
        <v>46175</v>
      </c>
      <c r="T254"/>
      <c r="U254"/>
      <c r="V254"/>
      <c r="W254"/>
      <c r="X254"/>
      <c r="Y254"/>
      <c r="Z254"/>
      <c r="AA254"/>
    </row>
    <row r="255" spans="1:27" s="49" customFormat="1" ht="21.75" thickBot="1" x14ac:dyDescent="0.4">
      <c r="A255" s="48"/>
      <c r="B255" s="48"/>
      <c r="D255" s="48"/>
      <c r="E255" s="48"/>
      <c r="H255" s="94"/>
      <c r="T255" s="76"/>
      <c r="U255" s="76"/>
      <c r="V255" s="76"/>
      <c r="W255" s="76"/>
      <c r="X255" s="76"/>
      <c r="Y255" s="76"/>
      <c r="Z255" s="76"/>
      <c r="AA255" s="76"/>
    </row>
    <row r="256" spans="1:27" s="47" customFormat="1" x14ac:dyDescent="0.35">
      <c r="A256" s="46" t="s">
        <v>74</v>
      </c>
      <c r="B256" s="46" t="s">
        <v>226</v>
      </c>
      <c r="C256" s="53">
        <v>4999</v>
      </c>
      <c r="D256" s="46" t="s">
        <v>300</v>
      </c>
      <c r="E256" s="46" t="s">
        <v>607</v>
      </c>
      <c r="F256" s="47" t="s">
        <v>386</v>
      </c>
      <c r="G256" s="47">
        <v>1</v>
      </c>
      <c r="H256" s="95">
        <v>46175</v>
      </c>
      <c r="I256" s="47">
        <v>2</v>
      </c>
      <c r="T256"/>
      <c r="U256"/>
      <c r="V256"/>
      <c r="W256"/>
      <c r="X256"/>
      <c r="Y256"/>
      <c r="Z256"/>
      <c r="AA256"/>
    </row>
    <row r="257" spans="1:27" s="49" customFormat="1" ht="21.75" thickBot="1" x14ac:dyDescent="0.4">
      <c r="A257" s="48"/>
      <c r="B257" s="48"/>
      <c r="D257" s="48"/>
      <c r="E257" s="48"/>
      <c r="H257" s="94"/>
      <c r="T257" s="76"/>
      <c r="U257" s="76"/>
      <c r="V257" s="76"/>
      <c r="W257" s="76"/>
      <c r="X257" s="76"/>
      <c r="Y257" s="76"/>
      <c r="Z257" s="76"/>
      <c r="AA257" s="76"/>
    </row>
    <row r="258" spans="1:27" s="47" customFormat="1" x14ac:dyDescent="0.35">
      <c r="A258" s="46" t="s">
        <v>654</v>
      </c>
      <c r="B258" s="46" t="s">
        <v>220</v>
      </c>
      <c r="C258" s="47">
        <v>5000</v>
      </c>
      <c r="D258" s="46" t="s">
        <v>76</v>
      </c>
      <c r="E258" s="46" t="s">
        <v>150</v>
      </c>
      <c r="F258" s="105" t="s">
        <v>219</v>
      </c>
      <c r="G258" s="47">
        <v>20</v>
      </c>
      <c r="H258" s="95">
        <v>46176</v>
      </c>
      <c r="T258"/>
      <c r="U258"/>
      <c r="V258"/>
      <c r="W258"/>
      <c r="X258"/>
      <c r="Y258"/>
      <c r="Z258"/>
      <c r="AA258"/>
    </row>
    <row r="259" spans="1:27" s="49" customFormat="1" ht="21.75" thickBot="1" x14ac:dyDescent="0.4">
      <c r="A259" s="48"/>
      <c r="B259" s="48"/>
      <c r="D259" s="48"/>
      <c r="E259" s="48"/>
      <c r="H259" s="94"/>
      <c r="T259" s="76"/>
      <c r="U259" s="76"/>
      <c r="V259" s="76"/>
      <c r="W259" s="76"/>
      <c r="X259" s="76"/>
      <c r="Y259" s="76"/>
      <c r="Z259" s="76"/>
      <c r="AA259" s="76"/>
    </row>
    <row r="260" spans="1:27" s="47" customFormat="1" x14ac:dyDescent="0.35">
      <c r="A260" s="46" t="s">
        <v>74</v>
      </c>
      <c r="B260" s="46" t="s">
        <v>226</v>
      </c>
      <c r="C260" s="53">
        <v>5001</v>
      </c>
      <c r="D260" s="46" t="s">
        <v>271</v>
      </c>
      <c r="E260" s="46" t="s">
        <v>655</v>
      </c>
      <c r="F260" s="47" t="s">
        <v>386</v>
      </c>
      <c r="G260" s="47">
        <v>1</v>
      </c>
      <c r="H260" s="95">
        <v>46176</v>
      </c>
      <c r="I260" s="47">
        <v>2</v>
      </c>
      <c r="T260"/>
      <c r="U260"/>
      <c r="V260"/>
      <c r="W260"/>
      <c r="X260"/>
      <c r="Y260"/>
      <c r="Z260"/>
      <c r="AA260"/>
    </row>
    <row r="261" spans="1:27" s="17" customFormat="1" x14ac:dyDescent="0.35">
      <c r="A261" s="21"/>
      <c r="B261" s="21"/>
      <c r="D261" s="21" t="s">
        <v>300</v>
      </c>
      <c r="E261" s="21" t="s">
        <v>607</v>
      </c>
      <c r="G261" s="17">
        <v>1</v>
      </c>
      <c r="H261" s="93"/>
      <c r="I261" s="17">
        <v>2</v>
      </c>
      <c r="T261"/>
      <c r="U261"/>
      <c r="V261"/>
      <c r="W261"/>
      <c r="X261"/>
      <c r="Y261"/>
      <c r="Z261"/>
      <c r="AA261"/>
    </row>
    <row r="262" spans="1:27" s="49" customFormat="1" ht="21.75" thickBot="1" x14ac:dyDescent="0.4">
      <c r="A262" s="48"/>
      <c r="B262" s="48"/>
      <c r="H262" s="94"/>
      <c r="T262" s="76"/>
      <c r="U262" s="76"/>
      <c r="V262" s="76"/>
      <c r="W262" s="76"/>
      <c r="X262" s="76"/>
      <c r="Y262" s="76"/>
      <c r="Z262" s="76"/>
      <c r="AA262" s="76"/>
    </row>
    <row r="263" spans="1:27" s="47" customFormat="1" x14ac:dyDescent="0.35">
      <c r="A263" s="46" t="s">
        <v>656</v>
      </c>
      <c r="B263" s="46" t="s">
        <v>657</v>
      </c>
      <c r="C263" s="47">
        <v>5002</v>
      </c>
      <c r="D263" s="46" t="s">
        <v>161</v>
      </c>
      <c r="E263" s="46" t="s">
        <v>162</v>
      </c>
      <c r="F263" s="105" t="s">
        <v>219</v>
      </c>
      <c r="G263" s="47">
        <v>10</v>
      </c>
      <c r="H263" s="95">
        <v>46176</v>
      </c>
      <c r="T263"/>
      <c r="U263"/>
      <c r="V263"/>
      <c r="W263"/>
      <c r="X263"/>
      <c r="Y263"/>
      <c r="Z263"/>
      <c r="AA263"/>
    </row>
    <row r="264" spans="1:27" s="49" customFormat="1" ht="21.75" thickBot="1" x14ac:dyDescent="0.4">
      <c r="A264" s="48"/>
      <c r="B264" s="48"/>
      <c r="D264" s="48"/>
      <c r="E264" s="48"/>
      <c r="H264" s="94"/>
      <c r="T264" s="76"/>
      <c r="U264" s="76"/>
      <c r="V264" s="76"/>
      <c r="W264" s="76"/>
      <c r="X264" s="76"/>
      <c r="Y264" s="76"/>
      <c r="Z264" s="76"/>
      <c r="AA264" s="76"/>
    </row>
    <row r="265" spans="1:27" s="47" customFormat="1" x14ac:dyDescent="0.35">
      <c r="A265" s="46" t="s">
        <v>658</v>
      </c>
      <c r="B265" s="46" t="s">
        <v>319</v>
      </c>
      <c r="C265" s="53">
        <v>5003</v>
      </c>
      <c r="D265" s="46" t="s">
        <v>76</v>
      </c>
      <c r="E265" s="46" t="s">
        <v>150</v>
      </c>
      <c r="F265" s="47" t="s">
        <v>241</v>
      </c>
      <c r="G265" s="47">
        <v>1</v>
      </c>
      <c r="H265" s="95">
        <v>46176</v>
      </c>
      <c r="J265" s="47">
        <v>0.5</v>
      </c>
      <c r="T265"/>
      <c r="U265"/>
      <c r="V265"/>
      <c r="W265"/>
      <c r="X265"/>
      <c r="Y265"/>
      <c r="Z265"/>
      <c r="AA265"/>
    </row>
    <row r="266" spans="1:27" s="17" customFormat="1" x14ac:dyDescent="0.35">
      <c r="A266" s="21"/>
      <c r="B266" s="21"/>
      <c r="D266" s="21" t="s">
        <v>141</v>
      </c>
      <c r="E266" s="21" t="s">
        <v>151</v>
      </c>
      <c r="G266" s="17">
        <v>1</v>
      </c>
      <c r="H266" s="93"/>
      <c r="J266" s="17">
        <v>1</v>
      </c>
      <c r="T266"/>
      <c r="U266"/>
      <c r="V266"/>
      <c r="W266"/>
      <c r="X266"/>
      <c r="Y266"/>
      <c r="Z266"/>
      <c r="AA266"/>
    </row>
    <row r="267" spans="1:27" s="17" customFormat="1" x14ac:dyDescent="0.35">
      <c r="A267" s="21"/>
      <c r="B267" s="21"/>
      <c r="D267" s="21" t="s">
        <v>77</v>
      </c>
      <c r="E267" s="21" t="s">
        <v>20</v>
      </c>
      <c r="G267" s="17">
        <v>1</v>
      </c>
      <c r="H267" s="93"/>
      <c r="T267"/>
      <c r="U267"/>
      <c r="V267"/>
      <c r="W267"/>
      <c r="X267"/>
      <c r="Y267"/>
      <c r="Z267"/>
      <c r="AA267"/>
    </row>
    <row r="268" spans="1:27" s="17" customFormat="1" x14ac:dyDescent="0.35">
      <c r="A268" s="21"/>
      <c r="B268" s="21"/>
      <c r="D268" s="21" t="s">
        <v>83</v>
      </c>
      <c r="E268" s="21" t="s">
        <v>12</v>
      </c>
      <c r="G268" s="17">
        <v>1</v>
      </c>
      <c r="H268" s="93"/>
      <c r="T268"/>
      <c r="U268"/>
      <c r="V268"/>
      <c r="W268"/>
      <c r="X268"/>
      <c r="Y268"/>
      <c r="Z268"/>
      <c r="AA268"/>
    </row>
    <row r="269" spans="1:27" s="17" customFormat="1" x14ac:dyDescent="0.35">
      <c r="A269" s="21"/>
      <c r="B269" s="21"/>
      <c r="D269" s="21" t="s">
        <v>78</v>
      </c>
      <c r="E269" s="21" t="s">
        <v>16</v>
      </c>
      <c r="G269" s="17">
        <v>1</v>
      </c>
      <c r="H269" s="93"/>
      <c r="T269"/>
      <c r="U269"/>
      <c r="V269"/>
      <c r="W269"/>
      <c r="X269"/>
      <c r="Y269"/>
      <c r="Z269"/>
      <c r="AA269"/>
    </row>
    <row r="270" spans="1:27" s="17" customFormat="1" x14ac:dyDescent="0.35">
      <c r="A270" s="21"/>
      <c r="B270" s="21"/>
      <c r="D270" s="21" t="s">
        <v>92</v>
      </c>
      <c r="E270" s="21" t="s">
        <v>51</v>
      </c>
      <c r="G270" s="17">
        <v>1</v>
      </c>
      <c r="H270" s="93"/>
      <c r="T270"/>
      <c r="U270"/>
      <c r="V270"/>
      <c r="W270"/>
      <c r="X270"/>
      <c r="Y270"/>
      <c r="Z270"/>
      <c r="AA270"/>
    </row>
    <row r="271" spans="1:27" s="17" customFormat="1" x14ac:dyDescent="0.35">
      <c r="A271" s="21"/>
      <c r="B271" s="21"/>
      <c r="D271" s="21" t="s">
        <v>93</v>
      </c>
      <c r="E271" s="21" t="s">
        <v>14</v>
      </c>
      <c r="G271" s="17">
        <v>1</v>
      </c>
      <c r="H271" s="93"/>
      <c r="J271" s="17">
        <v>1</v>
      </c>
      <c r="T271"/>
      <c r="U271"/>
      <c r="V271"/>
      <c r="W271"/>
      <c r="X271"/>
      <c r="Y271"/>
      <c r="Z271"/>
      <c r="AA271"/>
    </row>
    <row r="272" spans="1:27" s="49" customFormat="1" ht="21.75" thickBot="1" x14ac:dyDescent="0.4">
      <c r="A272" s="48"/>
      <c r="B272" s="48"/>
      <c r="D272" s="48"/>
      <c r="E272" s="48"/>
      <c r="H272" s="94"/>
      <c r="T272" s="76"/>
      <c r="U272" s="76"/>
      <c r="V272" s="76"/>
      <c r="W272" s="76"/>
      <c r="X272" s="76"/>
      <c r="Y272" s="76"/>
      <c r="Z272" s="76"/>
      <c r="AA272" s="76"/>
    </row>
    <row r="273" spans="1:27" s="47" customFormat="1" x14ac:dyDescent="0.35">
      <c r="A273" s="46" t="s">
        <v>11</v>
      </c>
      <c r="B273" s="46" t="s">
        <v>163</v>
      </c>
      <c r="C273" s="54">
        <v>5004</v>
      </c>
      <c r="D273" s="46" t="s">
        <v>97</v>
      </c>
      <c r="E273" s="46" t="s">
        <v>24</v>
      </c>
      <c r="F273" s="47" t="s">
        <v>660</v>
      </c>
      <c r="G273" s="47">
        <v>1</v>
      </c>
      <c r="H273" s="95">
        <v>46177</v>
      </c>
      <c r="K273" s="47">
        <v>0.33</v>
      </c>
      <c r="M273" s="47">
        <v>0.33</v>
      </c>
      <c r="N273" s="47">
        <v>0.33</v>
      </c>
      <c r="T273"/>
      <c r="U273"/>
      <c r="V273"/>
      <c r="W273"/>
      <c r="X273"/>
      <c r="Y273"/>
      <c r="Z273"/>
      <c r="AA273"/>
    </row>
    <row r="274" spans="1:27" s="17" customFormat="1" x14ac:dyDescent="0.35">
      <c r="A274" s="21"/>
      <c r="B274" s="21"/>
      <c r="D274" s="21" t="s">
        <v>100</v>
      </c>
      <c r="E274" s="21" t="s">
        <v>50</v>
      </c>
      <c r="G274" s="17">
        <v>1</v>
      </c>
      <c r="H274" s="93"/>
      <c r="T274"/>
      <c r="U274"/>
      <c r="V274"/>
      <c r="W274"/>
      <c r="X274"/>
      <c r="Y274"/>
      <c r="Z274"/>
      <c r="AA274"/>
    </row>
    <row r="275" spans="1:27" s="17" customFormat="1" x14ac:dyDescent="0.35">
      <c r="A275" s="21"/>
      <c r="B275" s="21"/>
      <c r="D275" s="21" t="s">
        <v>98</v>
      </c>
      <c r="E275" s="21" t="s">
        <v>57</v>
      </c>
      <c r="G275" s="17">
        <v>1</v>
      </c>
      <c r="H275" s="93"/>
      <c r="T275"/>
      <c r="U275"/>
      <c r="V275"/>
      <c r="W275"/>
      <c r="X275"/>
      <c r="Y275"/>
      <c r="Z275"/>
      <c r="AA275"/>
    </row>
    <row r="276" spans="1:27" s="17" customFormat="1" x14ac:dyDescent="0.35">
      <c r="A276" s="21"/>
      <c r="B276" s="21"/>
      <c r="D276" s="21" t="s">
        <v>93</v>
      </c>
      <c r="E276" s="21" t="s">
        <v>14</v>
      </c>
      <c r="G276" s="17">
        <v>1</v>
      </c>
      <c r="H276" s="93"/>
      <c r="K276" s="17">
        <v>0.33</v>
      </c>
      <c r="M276" s="17">
        <v>0.33</v>
      </c>
      <c r="N276" s="17">
        <v>0.33</v>
      </c>
      <c r="T276"/>
      <c r="U276"/>
      <c r="V276"/>
      <c r="W276"/>
      <c r="X276"/>
      <c r="Y276"/>
      <c r="Z276"/>
      <c r="AA276"/>
    </row>
    <row r="277" spans="1:27" s="17" customFormat="1" x14ac:dyDescent="0.35">
      <c r="A277" s="21"/>
      <c r="B277" s="21"/>
      <c r="D277" s="21" t="s">
        <v>99</v>
      </c>
      <c r="E277" s="21" t="s">
        <v>418</v>
      </c>
      <c r="G277" s="17">
        <v>1</v>
      </c>
      <c r="H277" s="93"/>
      <c r="K277" s="17">
        <v>0.33</v>
      </c>
      <c r="M277" s="17">
        <v>0.33</v>
      </c>
      <c r="N277" s="17">
        <v>0.33</v>
      </c>
      <c r="T277"/>
      <c r="U277"/>
      <c r="V277"/>
      <c r="W277"/>
      <c r="X277"/>
      <c r="Y277"/>
      <c r="Z277"/>
      <c r="AA277"/>
    </row>
    <row r="278" spans="1:27" s="17" customFormat="1" x14ac:dyDescent="0.35">
      <c r="A278" s="21"/>
      <c r="B278" s="21"/>
      <c r="D278" s="21" t="s">
        <v>87</v>
      </c>
      <c r="E278" s="21" t="s">
        <v>659</v>
      </c>
      <c r="G278" s="17">
        <v>1</v>
      </c>
      <c r="H278" s="93"/>
      <c r="K278" s="17">
        <v>0.33</v>
      </c>
      <c r="M278" s="17">
        <v>0.33</v>
      </c>
      <c r="N278" s="17">
        <v>0.33</v>
      </c>
      <c r="T278"/>
      <c r="U278"/>
      <c r="V278"/>
      <c r="W278"/>
      <c r="X278"/>
      <c r="Y278"/>
      <c r="Z278"/>
      <c r="AA278"/>
    </row>
    <row r="279" spans="1:27" s="17" customFormat="1" x14ac:dyDescent="0.35">
      <c r="A279" s="21"/>
      <c r="B279" s="21"/>
      <c r="D279" s="21" t="s">
        <v>353</v>
      </c>
      <c r="E279" s="21" t="s">
        <v>354</v>
      </c>
      <c r="G279" s="17">
        <v>1</v>
      </c>
      <c r="H279" s="93"/>
      <c r="K279" s="17">
        <v>0.33</v>
      </c>
      <c r="M279" s="17">
        <v>0.33</v>
      </c>
      <c r="N279" s="17">
        <v>0.33</v>
      </c>
      <c r="T279"/>
      <c r="U279"/>
      <c r="V279"/>
      <c r="W279"/>
      <c r="X279"/>
      <c r="Y279"/>
      <c r="Z279"/>
      <c r="AA279"/>
    </row>
    <row r="280" spans="1:27" s="17" customFormat="1" x14ac:dyDescent="0.35">
      <c r="A280" s="21"/>
      <c r="B280" s="21"/>
      <c r="D280" s="21" t="s">
        <v>124</v>
      </c>
      <c r="E280" s="21" t="s">
        <v>60</v>
      </c>
      <c r="G280" s="17">
        <v>1</v>
      </c>
      <c r="H280" s="93"/>
      <c r="T280"/>
      <c r="U280"/>
      <c r="V280"/>
      <c r="W280"/>
      <c r="X280"/>
      <c r="Y280"/>
      <c r="Z280"/>
      <c r="AA280"/>
    </row>
    <row r="281" spans="1:27" s="17" customFormat="1" x14ac:dyDescent="0.35">
      <c r="A281" s="21"/>
      <c r="B281" s="21"/>
      <c r="D281" s="21" t="s">
        <v>107</v>
      </c>
      <c r="E281" s="21" t="s">
        <v>406</v>
      </c>
      <c r="G281" s="17">
        <v>1</v>
      </c>
      <c r="H281" s="93"/>
      <c r="K281" s="17">
        <v>0.33</v>
      </c>
      <c r="M281" s="17">
        <v>0.33</v>
      </c>
      <c r="N281" s="17">
        <v>0.33</v>
      </c>
      <c r="T281"/>
      <c r="U281"/>
      <c r="V281"/>
      <c r="W281"/>
      <c r="X281"/>
      <c r="Y281"/>
      <c r="Z281"/>
      <c r="AA281"/>
    </row>
    <row r="282" spans="1:27" s="17" customFormat="1" x14ac:dyDescent="0.35">
      <c r="A282" s="21"/>
      <c r="B282" s="21"/>
      <c r="D282" s="21" t="s">
        <v>137</v>
      </c>
      <c r="E282" s="21" t="s">
        <v>138</v>
      </c>
      <c r="G282" s="17">
        <v>3</v>
      </c>
      <c r="H282" s="93"/>
      <c r="T282"/>
      <c r="U282"/>
      <c r="V282"/>
      <c r="W282"/>
      <c r="X282"/>
      <c r="Y282"/>
      <c r="Z282"/>
      <c r="AA282"/>
    </row>
    <row r="283" spans="1:27" s="17" customFormat="1" x14ac:dyDescent="0.35">
      <c r="A283" s="21"/>
      <c r="B283" s="21"/>
      <c r="D283" s="21" t="s">
        <v>82</v>
      </c>
      <c r="E283" s="21" t="s">
        <v>26</v>
      </c>
      <c r="G283" s="17">
        <v>1</v>
      </c>
      <c r="H283" s="93"/>
      <c r="T283"/>
      <c r="U283"/>
      <c r="V283"/>
      <c r="W283"/>
      <c r="X283"/>
      <c r="Y283"/>
      <c r="Z283"/>
      <c r="AA283"/>
    </row>
    <row r="284" spans="1:27" s="17" customFormat="1" x14ac:dyDescent="0.35">
      <c r="A284" s="21"/>
      <c r="B284" s="21"/>
      <c r="D284" s="21" t="s">
        <v>470</v>
      </c>
      <c r="E284" s="21" t="s">
        <v>471</v>
      </c>
      <c r="G284" s="17">
        <v>1</v>
      </c>
      <c r="H284" s="93"/>
      <c r="T284"/>
      <c r="U284"/>
      <c r="V284"/>
      <c r="W284"/>
      <c r="X284"/>
      <c r="Y284"/>
      <c r="Z284"/>
      <c r="AA284"/>
    </row>
    <row r="285" spans="1:27" s="17" customFormat="1" x14ac:dyDescent="0.35">
      <c r="A285" s="21"/>
      <c r="B285" s="21"/>
      <c r="D285" s="21" t="s">
        <v>372</v>
      </c>
      <c r="E285" s="21" t="s">
        <v>373</v>
      </c>
      <c r="G285" s="17">
        <v>1</v>
      </c>
      <c r="H285" s="93"/>
      <c r="T285"/>
      <c r="U285"/>
      <c r="V285"/>
      <c r="W285"/>
      <c r="X285"/>
      <c r="Y285"/>
      <c r="Z285"/>
      <c r="AA285"/>
    </row>
    <row r="286" spans="1:27" s="49" customFormat="1" ht="21.75" thickBot="1" x14ac:dyDescent="0.4">
      <c r="A286" s="48"/>
      <c r="B286" s="48"/>
      <c r="D286" s="48"/>
      <c r="E286" s="48"/>
      <c r="H286" s="94"/>
      <c r="T286" s="76"/>
      <c r="U286" s="76"/>
      <c r="V286" s="76"/>
      <c r="W286" s="76"/>
      <c r="X286" s="76"/>
      <c r="Y286" s="76"/>
      <c r="Z286" s="76"/>
      <c r="AA286" s="76"/>
    </row>
    <row r="287" spans="1:27" s="47" customFormat="1" x14ac:dyDescent="0.35">
      <c r="A287" s="46" t="s">
        <v>661</v>
      </c>
      <c r="B287" s="46" t="s">
        <v>414</v>
      </c>
      <c r="C287" s="47">
        <v>5005</v>
      </c>
      <c r="D287" s="104" t="s">
        <v>76</v>
      </c>
      <c r="E287" s="46" t="s">
        <v>150</v>
      </c>
      <c r="F287" s="105" t="s">
        <v>219</v>
      </c>
      <c r="G287" s="47">
        <v>5</v>
      </c>
      <c r="H287" s="95">
        <v>46177</v>
      </c>
      <c r="T287"/>
      <c r="U287"/>
      <c r="V287"/>
      <c r="W287"/>
      <c r="X287"/>
      <c r="Y287"/>
      <c r="Z287"/>
      <c r="AA287"/>
    </row>
    <row r="288" spans="1:27" s="17" customFormat="1" x14ac:dyDescent="0.35">
      <c r="A288" s="21"/>
      <c r="B288" s="21"/>
      <c r="D288" s="21" t="s">
        <v>106</v>
      </c>
      <c r="E288" s="21" t="s">
        <v>69</v>
      </c>
      <c r="G288" s="17">
        <v>5</v>
      </c>
      <c r="H288" s="93"/>
      <c r="T288"/>
      <c r="U288"/>
      <c r="V288"/>
      <c r="W288"/>
      <c r="X288"/>
      <c r="Y288"/>
      <c r="Z288"/>
      <c r="AA288"/>
    </row>
    <row r="289" spans="1:27" s="17" customFormat="1" x14ac:dyDescent="0.35">
      <c r="A289" s="21"/>
      <c r="B289" s="21"/>
      <c r="D289" s="21" t="s">
        <v>77</v>
      </c>
      <c r="E289" s="21" t="s">
        <v>20</v>
      </c>
      <c r="G289" s="17">
        <v>5</v>
      </c>
      <c r="H289" s="93"/>
      <c r="T289"/>
      <c r="U289"/>
      <c r="V289"/>
      <c r="W289"/>
      <c r="X289"/>
      <c r="Y289"/>
      <c r="Z289"/>
      <c r="AA289"/>
    </row>
    <row r="290" spans="1:27" s="17" customFormat="1" x14ac:dyDescent="0.35">
      <c r="A290" s="21"/>
      <c r="B290" s="21"/>
      <c r="D290" s="21" t="s">
        <v>78</v>
      </c>
      <c r="E290" s="21" t="s">
        <v>16</v>
      </c>
      <c r="G290" s="17">
        <v>5</v>
      </c>
      <c r="H290" s="93"/>
      <c r="T290"/>
      <c r="U290"/>
      <c r="V290"/>
      <c r="W290"/>
      <c r="X290"/>
      <c r="Y290"/>
      <c r="Z290"/>
      <c r="AA290"/>
    </row>
    <row r="291" spans="1:27" s="49" customFormat="1" ht="21.75" thickBot="1" x14ac:dyDescent="0.4">
      <c r="A291" s="48"/>
      <c r="B291" s="48"/>
      <c r="D291" s="48"/>
      <c r="E291" s="48"/>
      <c r="H291" s="94"/>
      <c r="T291" s="76"/>
      <c r="U291" s="76"/>
      <c r="V291" s="76"/>
      <c r="W291" s="76"/>
      <c r="X291" s="76"/>
      <c r="Y291" s="76"/>
      <c r="Z291" s="76"/>
      <c r="AA291" s="76"/>
    </row>
    <row r="292" spans="1:27" s="47" customFormat="1" x14ac:dyDescent="0.35">
      <c r="A292" s="46" t="s">
        <v>11</v>
      </c>
      <c r="B292" s="46" t="s">
        <v>163</v>
      </c>
      <c r="C292" s="54">
        <v>5006</v>
      </c>
      <c r="D292" s="46" t="s">
        <v>76</v>
      </c>
      <c r="E292" s="46" t="s">
        <v>150</v>
      </c>
      <c r="F292" s="47" t="s">
        <v>390</v>
      </c>
      <c r="G292" s="47">
        <v>1</v>
      </c>
      <c r="H292" s="95">
        <v>46177</v>
      </c>
      <c r="K292" s="47">
        <v>1</v>
      </c>
      <c r="T292"/>
      <c r="U292"/>
      <c r="V292"/>
      <c r="W292"/>
      <c r="X292"/>
      <c r="Y292"/>
      <c r="Z292"/>
      <c r="AA292"/>
    </row>
    <row r="293" spans="1:27" s="17" customFormat="1" x14ac:dyDescent="0.35">
      <c r="A293" s="21"/>
      <c r="B293" s="21"/>
      <c r="D293" s="21" t="s">
        <v>77</v>
      </c>
      <c r="E293" s="21" t="s">
        <v>20</v>
      </c>
      <c r="G293" s="17">
        <v>1</v>
      </c>
      <c r="H293" s="93"/>
      <c r="T293"/>
      <c r="U293"/>
      <c r="V293"/>
      <c r="W293"/>
      <c r="X293"/>
      <c r="Y293"/>
      <c r="Z293"/>
      <c r="AA293"/>
    </row>
    <row r="294" spans="1:27" s="49" customFormat="1" ht="21.75" thickBot="1" x14ac:dyDescent="0.4">
      <c r="A294" s="48"/>
      <c r="B294" s="48"/>
      <c r="D294" s="48"/>
      <c r="E294" s="48"/>
      <c r="H294" s="94"/>
      <c r="T294" s="76"/>
      <c r="U294" s="76"/>
      <c r="V294" s="76"/>
      <c r="W294" s="76"/>
      <c r="X294" s="76"/>
      <c r="Y294" s="76"/>
      <c r="Z294" s="76"/>
      <c r="AA294" s="76"/>
    </row>
    <row r="295" spans="1:27" s="47" customFormat="1" x14ac:dyDescent="0.35">
      <c r="A295" s="46" t="s">
        <v>11</v>
      </c>
      <c r="B295" s="46" t="s">
        <v>163</v>
      </c>
      <c r="C295" s="54">
        <v>5007</v>
      </c>
      <c r="D295" s="46" t="s">
        <v>97</v>
      </c>
      <c r="E295" s="46" t="s">
        <v>24</v>
      </c>
      <c r="F295" s="47" t="s">
        <v>147</v>
      </c>
      <c r="G295" s="47">
        <v>2</v>
      </c>
      <c r="H295" s="95">
        <v>46177</v>
      </c>
      <c r="K295" s="47">
        <v>0.66</v>
      </c>
      <c r="L295" s="47">
        <v>0.66</v>
      </c>
      <c r="M295" s="47">
        <v>0.66</v>
      </c>
      <c r="T295"/>
      <c r="U295"/>
      <c r="V295"/>
      <c r="W295"/>
      <c r="X295"/>
      <c r="Y295"/>
      <c r="Z295"/>
      <c r="AA295"/>
    </row>
    <row r="296" spans="1:27" s="17" customFormat="1" x14ac:dyDescent="0.35">
      <c r="A296" s="21"/>
      <c r="B296" s="21"/>
      <c r="D296" s="21" t="s">
        <v>100</v>
      </c>
      <c r="E296" s="21" t="s">
        <v>50</v>
      </c>
      <c r="G296" s="17">
        <v>2</v>
      </c>
      <c r="H296" s="93"/>
      <c r="T296"/>
      <c r="U296"/>
      <c r="V296"/>
      <c r="W296"/>
      <c r="X296"/>
      <c r="Y296"/>
      <c r="Z296"/>
      <c r="AA296"/>
    </row>
    <row r="297" spans="1:27" s="17" customFormat="1" x14ac:dyDescent="0.35">
      <c r="A297" s="21"/>
      <c r="B297" s="21"/>
      <c r="D297" s="21" t="s">
        <v>98</v>
      </c>
      <c r="E297" s="21" t="s">
        <v>57</v>
      </c>
      <c r="G297" s="17">
        <v>2</v>
      </c>
      <c r="H297" s="93"/>
      <c r="T297"/>
      <c r="U297"/>
      <c r="V297"/>
      <c r="W297"/>
      <c r="X297"/>
      <c r="Y297"/>
      <c r="Z297"/>
      <c r="AA297"/>
    </row>
    <row r="298" spans="1:27" s="17" customFormat="1" x14ac:dyDescent="0.35">
      <c r="A298" s="21"/>
      <c r="B298" s="21"/>
      <c r="D298" s="21" t="s">
        <v>93</v>
      </c>
      <c r="E298" s="21" t="s">
        <v>14</v>
      </c>
      <c r="G298" s="17">
        <v>2</v>
      </c>
      <c r="H298" s="93"/>
      <c r="K298" s="17">
        <v>0.66</v>
      </c>
      <c r="L298" s="17">
        <v>0.66</v>
      </c>
      <c r="M298" s="17">
        <v>0.66</v>
      </c>
      <c r="T298"/>
      <c r="U298"/>
      <c r="V298"/>
      <c r="W298"/>
      <c r="X298"/>
      <c r="Y298"/>
      <c r="Z298"/>
      <c r="AA298"/>
    </row>
    <row r="299" spans="1:27" s="17" customFormat="1" x14ac:dyDescent="0.35">
      <c r="A299" s="21"/>
      <c r="B299" s="21"/>
      <c r="D299" s="21" t="s">
        <v>99</v>
      </c>
      <c r="E299" s="21" t="s">
        <v>418</v>
      </c>
      <c r="G299" s="17">
        <v>2</v>
      </c>
      <c r="H299" s="93"/>
      <c r="K299" s="17">
        <v>0.66</v>
      </c>
      <c r="L299" s="17">
        <v>0.66</v>
      </c>
      <c r="M299" s="17">
        <v>0.66</v>
      </c>
      <c r="T299"/>
      <c r="U299"/>
      <c r="V299"/>
      <c r="W299"/>
      <c r="X299"/>
      <c r="Y299"/>
      <c r="Z299"/>
      <c r="AA299"/>
    </row>
    <row r="300" spans="1:27" s="17" customFormat="1" x14ac:dyDescent="0.35">
      <c r="A300" s="21"/>
      <c r="B300" s="21"/>
      <c r="D300" s="21" t="s">
        <v>87</v>
      </c>
      <c r="E300" s="21" t="s">
        <v>662</v>
      </c>
      <c r="G300" s="17">
        <v>2</v>
      </c>
      <c r="H300" s="93"/>
      <c r="K300" s="17">
        <v>0.66</v>
      </c>
      <c r="L300" s="17">
        <v>0.66</v>
      </c>
      <c r="M300" s="17">
        <v>0.66</v>
      </c>
      <c r="T300"/>
      <c r="U300"/>
      <c r="V300"/>
      <c r="W300"/>
      <c r="X300"/>
      <c r="Y300"/>
      <c r="Z300"/>
      <c r="AA300"/>
    </row>
    <row r="301" spans="1:27" s="17" customFormat="1" x14ac:dyDescent="0.35">
      <c r="A301" s="21"/>
      <c r="B301" s="21"/>
      <c r="D301" s="21" t="s">
        <v>107</v>
      </c>
      <c r="E301" s="21" t="s">
        <v>619</v>
      </c>
      <c r="G301" s="17">
        <v>2</v>
      </c>
      <c r="H301" s="93"/>
      <c r="K301" s="17">
        <v>0.66</v>
      </c>
      <c r="L301" s="17">
        <v>0.66</v>
      </c>
      <c r="M301" s="17">
        <v>0.66</v>
      </c>
      <c r="T301"/>
      <c r="U301"/>
      <c r="V301"/>
      <c r="W301"/>
      <c r="X301"/>
      <c r="Y301"/>
      <c r="Z301"/>
      <c r="AA301"/>
    </row>
    <row r="302" spans="1:27" s="17" customFormat="1" x14ac:dyDescent="0.35">
      <c r="A302" s="21"/>
      <c r="B302" s="21"/>
      <c r="D302" s="21" t="s">
        <v>353</v>
      </c>
      <c r="E302" s="21" t="s">
        <v>354</v>
      </c>
      <c r="G302" s="17">
        <v>2</v>
      </c>
      <c r="H302" s="93"/>
      <c r="K302" s="17">
        <v>0.66</v>
      </c>
      <c r="L302" s="17">
        <v>0.66</v>
      </c>
      <c r="M302" s="17">
        <v>0.66</v>
      </c>
      <c r="T302"/>
      <c r="U302"/>
      <c r="V302"/>
      <c r="W302"/>
      <c r="X302"/>
      <c r="Y302"/>
      <c r="Z302"/>
      <c r="AA302"/>
    </row>
    <row r="303" spans="1:27" s="17" customFormat="1" x14ac:dyDescent="0.35">
      <c r="A303" s="21"/>
      <c r="B303" s="21"/>
      <c r="D303" s="21" t="s">
        <v>124</v>
      </c>
      <c r="E303" s="21" t="s">
        <v>60</v>
      </c>
      <c r="G303" s="17">
        <v>1</v>
      </c>
      <c r="H303" s="93"/>
      <c r="T303"/>
      <c r="U303"/>
      <c r="V303"/>
      <c r="W303"/>
      <c r="X303"/>
      <c r="Y303"/>
      <c r="Z303"/>
      <c r="AA303"/>
    </row>
    <row r="304" spans="1:27" s="17" customFormat="1" x14ac:dyDescent="0.35">
      <c r="A304" s="21"/>
      <c r="B304" s="21"/>
      <c r="D304" s="21" t="s">
        <v>137</v>
      </c>
      <c r="E304" s="21" t="s">
        <v>138</v>
      </c>
      <c r="G304" s="17">
        <v>6</v>
      </c>
      <c r="H304" s="93"/>
      <c r="T304"/>
      <c r="U304"/>
      <c r="V304"/>
      <c r="W304"/>
      <c r="X304"/>
      <c r="Y304"/>
      <c r="Z304"/>
      <c r="AA304"/>
    </row>
    <row r="305" spans="1:27" s="17" customFormat="1" x14ac:dyDescent="0.35">
      <c r="A305" s="21"/>
      <c r="B305" s="21"/>
      <c r="D305" s="21" t="s">
        <v>372</v>
      </c>
      <c r="E305" s="21" t="s">
        <v>373</v>
      </c>
      <c r="G305" s="17">
        <v>2</v>
      </c>
      <c r="H305" s="93"/>
      <c r="T305"/>
      <c r="U305"/>
      <c r="V305"/>
      <c r="W305"/>
      <c r="X305"/>
      <c r="Y305"/>
      <c r="Z305"/>
      <c r="AA305"/>
    </row>
    <row r="306" spans="1:27" s="17" customFormat="1" x14ac:dyDescent="0.35">
      <c r="A306" s="21"/>
      <c r="B306" s="21"/>
      <c r="D306" s="21" t="s">
        <v>82</v>
      </c>
      <c r="E306" s="21" t="s">
        <v>26</v>
      </c>
      <c r="G306" s="17">
        <v>2</v>
      </c>
      <c r="H306" s="93"/>
      <c r="T306"/>
      <c r="U306"/>
      <c r="V306"/>
      <c r="W306"/>
      <c r="X306"/>
      <c r="Y306"/>
      <c r="Z306"/>
      <c r="AA306"/>
    </row>
    <row r="307" spans="1:27" s="17" customFormat="1" x14ac:dyDescent="0.35">
      <c r="A307" s="21"/>
      <c r="B307" s="21"/>
      <c r="D307" s="21" t="s">
        <v>470</v>
      </c>
      <c r="E307" s="21" t="s">
        <v>471</v>
      </c>
      <c r="G307" s="17">
        <v>2</v>
      </c>
      <c r="H307" s="93"/>
      <c r="T307"/>
      <c r="U307"/>
      <c r="V307"/>
      <c r="W307"/>
      <c r="X307"/>
      <c r="Y307"/>
      <c r="Z307"/>
      <c r="AA307"/>
    </row>
    <row r="308" spans="1:27" s="49" customFormat="1" ht="21.75" thickBot="1" x14ac:dyDescent="0.4">
      <c r="A308" s="48"/>
      <c r="B308" s="48"/>
      <c r="D308" s="48"/>
      <c r="E308" s="48"/>
      <c r="H308" s="94"/>
      <c r="T308" s="76"/>
      <c r="U308" s="76"/>
      <c r="V308" s="76"/>
      <c r="W308" s="76"/>
      <c r="X308" s="76"/>
      <c r="Y308" s="76"/>
      <c r="Z308" s="76"/>
      <c r="AA308" s="76"/>
    </row>
    <row r="309" spans="1:27" s="47" customFormat="1" x14ac:dyDescent="0.35">
      <c r="A309" s="46" t="s">
        <v>11</v>
      </c>
      <c r="B309" s="46" t="s">
        <v>163</v>
      </c>
      <c r="C309" s="54">
        <v>5008</v>
      </c>
      <c r="D309" s="46" t="s">
        <v>76</v>
      </c>
      <c r="E309" s="46" t="s">
        <v>150</v>
      </c>
      <c r="F309" s="47" t="s">
        <v>663</v>
      </c>
      <c r="G309" s="47">
        <v>1</v>
      </c>
      <c r="H309" s="95">
        <v>46178</v>
      </c>
      <c r="K309" s="47">
        <v>1</v>
      </c>
      <c r="T309"/>
      <c r="U309"/>
      <c r="V309"/>
      <c r="W309"/>
      <c r="X309"/>
      <c r="Y309"/>
      <c r="Z309"/>
      <c r="AA309"/>
    </row>
    <row r="310" spans="1:27" s="17" customFormat="1" x14ac:dyDescent="0.35">
      <c r="A310" s="21"/>
      <c r="B310" s="21"/>
      <c r="D310" s="89" t="s">
        <v>80</v>
      </c>
      <c r="E310" s="21" t="s">
        <v>19</v>
      </c>
      <c r="G310" s="17">
        <v>1</v>
      </c>
      <c r="H310" s="93"/>
      <c r="K310" s="17">
        <v>1</v>
      </c>
      <c r="T310"/>
      <c r="U310"/>
      <c r="V310"/>
      <c r="W310"/>
      <c r="X310"/>
      <c r="Y310"/>
      <c r="Z310"/>
      <c r="AA310"/>
    </row>
    <row r="311" spans="1:27" s="17" customFormat="1" x14ac:dyDescent="0.35">
      <c r="A311" s="21"/>
      <c r="B311" s="21"/>
      <c r="D311" s="21" t="s">
        <v>93</v>
      </c>
      <c r="E311" s="21" t="s">
        <v>14</v>
      </c>
      <c r="G311" s="17">
        <v>1</v>
      </c>
      <c r="H311" s="93"/>
      <c r="K311" s="17">
        <v>1</v>
      </c>
      <c r="T311"/>
      <c r="U311"/>
      <c r="V311"/>
      <c r="W311"/>
      <c r="X311"/>
      <c r="Y311"/>
      <c r="Z311"/>
      <c r="AA311"/>
    </row>
    <row r="312" spans="1:27" s="49" customFormat="1" ht="21.75" thickBot="1" x14ac:dyDescent="0.4">
      <c r="A312" s="48"/>
      <c r="B312" s="48"/>
      <c r="D312" s="48"/>
      <c r="E312" s="48"/>
      <c r="H312" s="94"/>
      <c r="T312" s="76"/>
      <c r="U312" s="76"/>
      <c r="V312" s="76"/>
      <c r="W312" s="76"/>
      <c r="X312" s="76"/>
      <c r="Y312" s="76"/>
      <c r="Z312" s="76"/>
      <c r="AA312" s="76"/>
    </row>
    <row r="313" spans="1:27" s="47" customFormat="1" x14ac:dyDescent="0.35">
      <c r="A313" s="46" t="s">
        <v>74</v>
      </c>
      <c r="B313" s="46" t="s">
        <v>226</v>
      </c>
      <c r="C313" s="53">
        <v>5009</v>
      </c>
      <c r="D313" s="46" t="s">
        <v>271</v>
      </c>
      <c r="E313" s="46" t="s">
        <v>655</v>
      </c>
      <c r="F313" s="47" t="s">
        <v>386</v>
      </c>
      <c r="G313" s="47">
        <v>1</v>
      </c>
      <c r="H313" s="95">
        <v>46181</v>
      </c>
      <c r="L313" s="47">
        <v>1</v>
      </c>
      <c r="T313"/>
      <c r="U313"/>
      <c r="V313"/>
      <c r="W313"/>
      <c r="X313"/>
      <c r="Y313"/>
      <c r="Z313"/>
      <c r="AA313"/>
    </row>
    <row r="314" spans="1:27" s="17" customFormat="1" x14ac:dyDescent="0.35">
      <c r="A314" s="21"/>
      <c r="B314" s="21"/>
      <c r="D314" s="21" t="s">
        <v>300</v>
      </c>
      <c r="E314" s="21" t="s">
        <v>607</v>
      </c>
      <c r="G314" s="17">
        <v>1</v>
      </c>
      <c r="H314" s="93"/>
      <c r="T314"/>
      <c r="U314"/>
      <c r="V314"/>
      <c r="W314"/>
      <c r="X314"/>
      <c r="Y314"/>
      <c r="Z314"/>
      <c r="AA314"/>
    </row>
    <row r="315" spans="1:27" s="49" customFormat="1" ht="21.75" thickBot="1" x14ac:dyDescent="0.4">
      <c r="A315" s="48"/>
      <c r="B315" s="48"/>
      <c r="D315" s="48"/>
      <c r="E315" s="48"/>
      <c r="H315" s="94"/>
      <c r="T315" s="76"/>
      <c r="U315" s="76"/>
      <c r="V315" s="76"/>
      <c r="W315" s="76"/>
      <c r="X315" s="76"/>
      <c r="Y315" s="76"/>
      <c r="Z315" s="76"/>
      <c r="AA315" s="76"/>
    </row>
    <row r="316" spans="1:27" s="47" customFormat="1" x14ac:dyDescent="0.35">
      <c r="A316" s="46" t="s">
        <v>136</v>
      </c>
      <c r="B316" s="46" t="s">
        <v>223</v>
      </c>
      <c r="C316" s="53">
        <v>5010</v>
      </c>
      <c r="D316" s="46" t="s">
        <v>76</v>
      </c>
      <c r="E316" s="46" t="s">
        <v>150</v>
      </c>
      <c r="F316" s="47" t="s">
        <v>664</v>
      </c>
      <c r="G316" s="47">
        <v>3</v>
      </c>
      <c r="H316" s="95">
        <v>46181</v>
      </c>
      <c r="I316" s="47">
        <v>0.75</v>
      </c>
      <c r="J316" s="47">
        <v>0.75</v>
      </c>
      <c r="T316"/>
      <c r="U316"/>
      <c r="V316"/>
      <c r="W316"/>
      <c r="X316"/>
      <c r="Y316"/>
      <c r="Z316"/>
      <c r="AA316"/>
    </row>
    <row r="317" spans="1:27" s="17" customFormat="1" x14ac:dyDescent="0.35">
      <c r="A317" s="21"/>
      <c r="B317" s="21"/>
      <c r="D317" s="21" t="s">
        <v>106</v>
      </c>
      <c r="E317" s="21" t="s">
        <v>69</v>
      </c>
      <c r="G317" s="17">
        <v>3</v>
      </c>
      <c r="H317" s="93"/>
      <c r="I317" s="17">
        <v>1.5</v>
      </c>
      <c r="J317" s="17">
        <v>1.5</v>
      </c>
      <c r="T317"/>
      <c r="U317"/>
      <c r="V317"/>
      <c r="W317"/>
      <c r="X317"/>
      <c r="Y317"/>
      <c r="Z317"/>
      <c r="AA317"/>
    </row>
    <row r="318" spans="1:27" s="17" customFormat="1" x14ac:dyDescent="0.35">
      <c r="A318" s="21"/>
      <c r="B318" s="21"/>
      <c r="D318" s="21" t="s">
        <v>77</v>
      </c>
      <c r="E318" s="21" t="s">
        <v>20</v>
      </c>
      <c r="G318" s="17">
        <v>3</v>
      </c>
      <c r="H318" s="93"/>
      <c r="T318"/>
      <c r="U318"/>
      <c r="V318"/>
      <c r="W318"/>
      <c r="X318"/>
      <c r="Y318"/>
      <c r="Z318"/>
      <c r="AA318"/>
    </row>
    <row r="319" spans="1:27" s="17" customFormat="1" x14ac:dyDescent="0.35">
      <c r="A319" s="21"/>
      <c r="B319" s="21"/>
      <c r="D319" s="21" t="s">
        <v>83</v>
      </c>
      <c r="E319" s="21" t="s">
        <v>12</v>
      </c>
      <c r="G319" s="17">
        <v>3</v>
      </c>
      <c r="H319" s="93"/>
      <c r="T319"/>
      <c r="U319"/>
      <c r="V319"/>
      <c r="W319"/>
      <c r="X319"/>
      <c r="Y319"/>
      <c r="Z319"/>
      <c r="AA319"/>
    </row>
    <row r="320" spans="1:27" s="17" customFormat="1" x14ac:dyDescent="0.35">
      <c r="A320" s="21"/>
      <c r="B320" s="21"/>
      <c r="D320" s="21" t="s">
        <v>84</v>
      </c>
      <c r="E320" s="21" t="s">
        <v>13</v>
      </c>
      <c r="G320" s="17">
        <v>3</v>
      </c>
      <c r="H320" s="93"/>
      <c r="T320"/>
      <c r="U320"/>
      <c r="V320"/>
      <c r="W320"/>
      <c r="X320"/>
      <c r="Y320"/>
      <c r="Z320"/>
      <c r="AA320"/>
    </row>
    <row r="321" spans="1:27" s="17" customFormat="1" x14ac:dyDescent="0.35">
      <c r="A321" s="21"/>
      <c r="B321" s="21"/>
      <c r="D321" s="21" t="s">
        <v>143</v>
      </c>
      <c r="E321" s="21" t="s">
        <v>287</v>
      </c>
      <c r="G321" s="17">
        <v>3</v>
      </c>
      <c r="H321" s="93"/>
      <c r="I321" s="17">
        <v>1.5</v>
      </c>
      <c r="J321" s="17">
        <v>1.5</v>
      </c>
      <c r="T321"/>
      <c r="U321"/>
      <c r="V321"/>
      <c r="W321"/>
      <c r="X321"/>
      <c r="Y321"/>
      <c r="Z321"/>
      <c r="AA321"/>
    </row>
    <row r="322" spans="1:27" s="17" customFormat="1" x14ac:dyDescent="0.35">
      <c r="A322" s="21"/>
      <c r="B322" s="21"/>
      <c r="D322" s="21" t="s">
        <v>93</v>
      </c>
      <c r="E322" s="21" t="s">
        <v>14</v>
      </c>
      <c r="G322" s="17">
        <v>3</v>
      </c>
      <c r="H322" s="93"/>
      <c r="I322" s="17">
        <v>1.5</v>
      </c>
      <c r="J322" s="17">
        <v>1.5</v>
      </c>
      <c r="T322"/>
      <c r="U322"/>
      <c r="V322"/>
      <c r="W322"/>
      <c r="X322"/>
      <c r="Y322"/>
      <c r="Z322"/>
      <c r="AA322"/>
    </row>
    <row r="323" spans="1:27" s="17" customFormat="1" x14ac:dyDescent="0.35">
      <c r="A323" s="21"/>
      <c r="B323" s="21"/>
      <c r="D323" s="21" t="s">
        <v>87</v>
      </c>
      <c r="E323" s="21" t="s">
        <v>21</v>
      </c>
      <c r="G323" s="17">
        <v>3</v>
      </c>
      <c r="H323" s="93"/>
      <c r="I323" s="17">
        <v>6</v>
      </c>
      <c r="J323" s="17">
        <v>1.5</v>
      </c>
      <c r="T323"/>
      <c r="U323"/>
      <c r="V323"/>
      <c r="W323"/>
      <c r="X323"/>
      <c r="Y323"/>
      <c r="Z323"/>
      <c r="AA323"/>
    </row>
    <row r="324" spans="1:27" s="17" customFormat="1" x14ac:dyDescent="0.35">
      <c r="A324" s="21"/>
      <c r="B324" s="21"/>
      <c r="D324" s="21" t="s">
        <v>88</v>
      </c>
      <c r="E324" s="21" t="s">
        <v>23</v>
      </c>
      <c r="G324" s="17">
        <v>3</v>
      </c>
      <c r="H324" s="93"/>
      <c r="I324" s="17">
        <v>6</v>
      </c>
      <c r="J324" s="17">
        <v>1.5</v>
      </c>
      <c r="T324"/>
      <c r="U324"/>
      <c r="V324"/>
      <c r="W324"/>
      <c r="X324"/>
      <c r="Y324"/>
      <c r="Z324"/>
      <c r="AA324"/>
    </row>
    <row r="325" spans="1:27" s="17" customFormat="1" x14ac:dyDescent="0.35">
      <c r="A325" s="21"/>
      <c r="B325" s="21"/>
      <c r="D325" s="21" t="s">
        <v>79</v>
      </c>
      <c r="E325" s="21" t="s">
        <v>73</v>
      </c>
      <c r="G325" s="17">
        <v>3</v>
      </c>
      <c r="H325" s="93"/>
      <c r="I325" s="17">
        <v>6</v>
      </c>
      <c r="J325" s="17">
        <v>1.5</v>
      </c>
      <c r="T325"/>
      <c r="U325"/>
      <c r="V325"/>
      <c r="W325"/>
      <c r="X325"/>
      <c r="Y325"/>
      <c r="Z325"/>
      <c r="AA325"/>
    </row>
    <row r="326" spans="1:27" s="17" customFormat="1" x14ac:dyDescent="0.35">
      <c r="A326" s="21"/>
      <c r="B326" s="21"/>
      <c r="D326" s="21" t="s">
        <v>75</v>
      </c>
      <c r="E326" s="21" t="s">
        <v>55</v>
      </c>
      <c r="G326" s="17">
        <v>3</v>
      </c>
      <c r="H326" s="93"/>
      <c r="I326" s="17">
        <v>6</v>
      </c>
      <c r="J326" s="17">
        <v>1.5</v>
      </c>
      <c r="T326"/>
      <c r="U326"/>
      <c r="V326"/>
      <c r="W326"/>
      <c r="X326"/>
      <c r="Y326"/>
      <c r="Z326"/>
      <c r="AA326"/>
    </row>
    <row r="327" spans="1:27" s="17" customFormat="1" x14ac:dyDescent="0.35">
      <c r="A327" s="21"/>
      <c r="B327" s="21"/>
      <c r="D327" s="21" t="s">
        <v>134</v>
      </c>
      <c r="E327" s="21" t="s">
        <v>135</v>
      </c>
      <c r="G327" s="17">
        <v>3</v>
      </c>
      <c r="H327" s="93"/>
      <c r="I327" s="17">
        <v>6</v>
      </c>
      <c r="J327" s="17">
        <v>1.5</v>
      </c>
      <c r="T327"/>
      <c r="U327"/>
      <c r="V327"/>
      <c r="W327"/>
      <c r="X327"/>
      <c r="Y327"/>
      <c r="Z327"/>
      <c r="AA327"/>
    </row>
    <row r="328" spans="1:27" s="17" customFormat="1" x14ac:dyDescent="0.35">
      <c r="A328" s="21"/>
      <c r="B328" s="21"/>
      <c r="D328" s="21" t="s">
        <v>224</v>
      </c>
      <c r="E328" s="21" t="s">
        <v>153</v>
      </c>
      <c r="G328" s="17">
        <v>3</v>
      </c>
      <c r="H328" s="93"/>
      <c r="I328" s="17">
        <v>6</v>
      </c>
      <c r="J328" s="17">
        <v>1.5</v>
      </c>
      <c r="T328"/>
      <c r="U328"/>
      <c r="V328"/>
      <c r="W328"/>
      <c r="X328"/>
      <c r="Y328"/>
      <c r="Z328"/>
      <c r="AA328"/>
    </row>
    <row r="329" spans="1:27" s="17" customFormat="1" x14ac:dyDescent="0.35">
      <c r="A329" s="21"/>
      <c r="B329" s="21"/>
      <c r="D329" s="21" t="s">
        <v>81</v>
      </c>
      <c r="E329" s="21" t="s">
        <v>15</v>
      </c>
      <c r="G329" s="17">
        <v>3</v>
      </c>
      <c r="H329" s="93"/>
      <c r="I329" s="17">
        <v>1.5</v>
      </c>
      <c r="J329" s="17">
        <v>1.5</v>
      </c>
      <c r="T329"/>
      <c r="U329"/>
      <c r="V329"/>
      <c r="W329"/>
      <c r="X329"/>
      <c r="Y329"/>
      <c r="Z329"/>
      <c r="AA329"/>
    </row>
    <row r="330" spans="1:27" s="17" customFormat="1" x14ac:dyDescent="0.35">
      <c r="A330" s="21"/>
      <c r="B330" s="21"/>
      <c r="D330" s="21" t="s">
        <v>96</v>
      </c>
      <c r="E330" s="21" t="s">
        <v>139</v>
      </c>
      <c r="G330" s="17">
        <v>72</v>
      </c>
      <c r="H330" s="93"/>
      <c r="T330"/>
      <c r="U330"/>
      <c r="V330"/>
      <c r="W330"/>
      <c r="X330"/>
      <c r="Y330"/>
      <c r="Z330"/>
      <c r="AA330"/>
    </row>
    <row r="331" spans="1:27" s="17" customFormat="1" x14ac:dyDescent="0.35">
      <c r="A331" s="21"/>
      <c r="B331" s="21"/>
      <c r="D331" s="21" t="s">
        <v>242</v>
      </c>
      <c r="E331" s="21" t="s">
        <v>243</v>
      </c>
      <c r="G331" s="17">
        <v>3</v>
      </c>
      <c r="H331" s="93"/>
      <c r="T331"/>
      <c r="U331"/>
      <c r="V331"/>
      <c r="W331"/>
      <c r="X331"/>
      <c r="Y331"/>
      <c r="Z331"/>
      <c r="AA331"/>
    </row>
    <row r="332" spans="1:27" s="17" customFormat="1" x14ac:dyDescent="0.35">
      <c r="A332" s="21"/>
      <c r="B332" s="21"/>
      <c r="D332" s="21" t="s">
        <v>89</v>
      </c>
      <c r="E332" s="21" t="s">
        <v>90</v>
      </c>
      <c r="G332" s="17">
        <v>3</v>
      </c>
      <c r="H332" s="93"/>
      <c r="T332"/>
      <c r="U332"/>
      <c r="V332"/>
      <c r="W332"/>
      <c r="X332"/>
      <c r="Y332"/>
      <c r="Z332"/>
      <c r="AA332"/>
    </row>
    <row r="333" spans="1:27" s="17" customFormat="1" x14ac:dyDescent="0.35">
      <c r="A333" s="21"/>
      <c r="B333" s="21"/>
      <c r="D333" s="21" t="s">
        <v>127</v>
      </c>
      <c r="E333" s="21" t="s">
        <v>128</v>
      </c>
      <c r="G333" s="17">
        <v>3</v>
      </c>
      <c r="H333" s="93"/>
      <c r="T333"/>
      <c r="U333"/>
      <c r="V333"/>
      <c r="W333"/>
      <c r="X333"/>
      <c r="Y333"/>
      <c r="Z333"/>
      <c r="AA333"/>
    </row>
    <row r="334" spans="1:27" s="17" customFormat="1" x14ac:dyDescent="0.35">
      <c r="A334" s="21"/>
      <c r="B334" s="21"/>
      <c r="D334" s="21" t="s">
        <v>95</v>
      </c>
      <c r="E334" s="21" t="s">
        <v>71</v>
      </c>
      <c r="G334" s="17">
        <v>6</v>
      </c>
      <c r="H334" s="93"/>
      <c r="T334"/>
      <c r="U334"/>
      <c r="V334"/>
      <c r="W334"/>
      <c r="X334"/>
      <c r="Y334"/>
      <c r="Z334"/>
      <c r="AA334"/>
    </row>
    <row r="335" spans="1:27" s="49" customFormat="1" ht="21.75" thickBot="1" x14ac:dyDescent="0.4">
      <c r="A335" s="48"/>
      <c r="B335" s="48"/>
      <c r="D335" s="48"/>
      <c r="E335" s="48"/>
      <c r="H335" s="94"/>
      <c r="T335" s="76"/>
      <c r="U335" s="76"/>
      <c r="V335" s="76"/>
      <c r="W335" s="76"/>
      <c r="X335" s="76"/>
      <c r="Y335" s="76"/>
      <c r="Z335" s="76"/>
      <c r="AA335" s="76"/>
    </row>
    <row r="336" spans="1:27" s="47" customFormat="1" x14ac:dyDescent="0.35">
      <c r="A336" s="46" t="s">
        <v>665</v>
      </c>
      <c r="B336" s="46" t="s">
        <v>220</v>
      </c>
      <c r="C336" s="47">
        <v>5011</v>
      </c>
      <c r="D336" s="46" t="s">
        <v>442</v>
      </c>
      <c r="E336" s="46" t="s">
        <v>666</v>
      </c>
      <c r="F336" s="105" t="s">
        <v>219</v>
      </c>
      <c r="G336" s="47">
        <v>2</v>
      </c>
      <c r="H336" s="95">
        <v>46181</v>
      </c>
      <c r="T336"/>
      <c r="U336"/>
      <c r="V336"/>
      <c r="W336"/>
      <c r="X336"/>
      <c r="Y336"/>
      <c r="Z336"/>
      <c r="AA336"/>
    </row>
    <row r="337" spans="1:27" s="49" customFormat="1" ht="21.75" thickBot="1" x14ac:dyDescent="0.4">
      <c r="A337" s="48"/>
      <c r="B337" s="48"/>
      <c r="D337" s="48"/>
      <c r="E337" s="48"/>
      <c r="H337" s="94"/>
      <c r="T337" s="76"/>
      <c r="U337" s="76"/>
      <c r="V337" s="76"/>
      <c r="W337" s="76"/>
      <c r="X337" s="76"/>
      <c r="Y337" s="76"/>
      <c r="Z337" s="76"/>
      <c r="AA337" s="76"/>
    </row>
    <row r="338" spans="1:27" s="47" customFormat="1" x14ac:dyDescent="0.35">
      <c r="A338" s="46" t="s">
        <v>11</v>
      </c>
      <c r="B338" s="46" t="s">
        <v>163</v>
      </c>
      <c r="C338" s="53">
        <v>5012</v>
      </c>
      <c r="D338" s="46" t="s">
        <v>76</v>
      </c>
      <c r="E338" s="46" t="s">
        <v>150</v>
      </c>
      <c r="F338" s="47" t="s">
        <v>280</v>
      </c>
      <c r="G338" s="47">
        <v>2</v>
      </c>
      <c r="H338" s="95">
        <v>46182</v>
      </c>
      <c r="K338" s="47">
        <v>1</v>
      </c>
      <c r="N338" s="47">
        <v>1</v>
      </c>
      <c r="T338"/>
      <c r="U338"/>
      <c r="V338"/>
      <c r="W338"/>
      <c r="X338"/>
      <c r="Y338"/>
      <c r="Z338"/>
      <c r="AA338"/>
    </row>
    <row r="339" spans="1:27" s="17" customFormat="1" x14ac:dyDescent="0.35">
      <c r="A339" s="21"/>
      <c r="B339" s="21"/>
      <c r="D339" s="21" t="s">
        <v>77</v>
      </c>
      <c r="E339" s="21" t="s">
        <v>20</v>
      </c>
      <c r="G339" s="17">
        <v>2</v>
      </c>
      <c r="H339" s="93"/>
      <c r="T339"/>
      <c r="U339"/>
      <c r="V339"/>
      <c r="W339"/>
      <c r="X339"/>
      <c r="Y339"/>
      <c r="Z339"/>
      <c r="AA339"/>
    </row>
    <row r="340" spans="1:27" s="49" customFormat="1" ht="21.75" thickBot="1" x14ac:dyDescent="0.4">
      <c r="A340" s="48"/>
      <c r="B340" s="48"/>
      <c r="D340" s="48"/>
      <c r="E340" s="48"/>
      <c r="H340" s="94"/>
      <c r="T340" s="76"/>
      <c r="U340" s="76"/>
      <c r="V340" s="76"/>
      <c r="W340" s="76"/>
      <c r="X340" s="76"/>
      <c r="Y340" s="76"/>
      <c r="Z340" s="76"/>
      <c r="AA340" s="76"/>
    </row>
    <row r="341" spans="1:27" s="47" customFormat="1" x14ac:dyDescent="0.35">
      <c r="A341" s="46" t="s">
        <v>11</v>
      </c>
      <c r="B341" s="46" t="s">
        <v>163</v>
      </c>
      <c r="C341" s="53">
        <v>5013</v>
      </c>
      <c r="D341" s="46" t="s">
        <v>410</v>
      </c>
      <c r="E341" s="46" t="s">
        <v>411</v>
      </c>
      <c r="F341" s="47" t="s">
        <v>376</v>
      </c>
      <c r="G341" s="47">
        <v>8</v>
      </c>
      <c r="H341" s="95">
        <v>46182</v>
      </c>
      <c r="K341" s="47">
        <v>10.66</v>
      </c>
      <c r="M341" s="47">
        <v>10.66</v>
      </c>
      <c r="N341" s="47">
        <v>10.66</v>
      </c>
      <c r="T341"/>
      <c r="U341"/>
      <c r="V341"/>
      <c r="W341"/>
      <c r="X341"/>
      <c r="Y341"/>
      <c r="Z341"/>
      <c r="AA341"/>
    </row>
    <row r="342" spans="1:27" s="17" customFormat="1" x14ac:dyDescent="0.35">
      <c r="A342" s="21"/>
      <c r="B342" s="21"/>
      <c r="D342" s="21" t="s">
        <v>143</v>
      </c>
      <c r="E342" s="21" t="s">
        <v>287</v>
      </c>
      <c r="G342" s="17">
        <v>8</v>
      </c>
      <c r="H342" s="93"/>
      <c r="K342" s="17">
        <v>8</v>
      </c>
      <c r="M342" s="17">
        <v>8</v>
      </c>
      <c r="N342" s="17">
        <v>8</v>
      </c>
      <c r="T342"/>
      <c r="U342"/>
      <c r="V342"/>
      <c r="W342"/>
      <c r="X342"/>
      <c r="Y342"/>
      <c r="Z342"/>
      <c r="AA342"/>
    </row>
    <row r="343" spans="1:27" s="17" customFormat="1" x14ac:dyDescent="0.35">
      <c r="A343" s="21"/>
      <c r="B343" s="21"/>
      <c r="D343" s="21" t="s">
        <v>79</v>
      </c>
      <c r="E343" s="21" t="s">
        <v>409</v>
      </c>
      <c r="G343" s="17">
        <v>18</v>
      </c>
      <c r="H343" s="93"/>
      <c r="K343" s="17">
        <v>6</v>
      </c>
      <c r="M343" s="17">
        <v>6</v>
      </c>
      <c r="N343" s="17">
        <v>6</v>
      </c>
      <c r="T343"/>
      <c r="U343"/>
      <c r="V343"/>
      <c r="W343"/>
      <c r="X343"/>
      <c r="Y343"/>
      <c r="Z343"/>
      <c r="AA343"/>
    </row>
    <row r="344" spans="1:27" s="17" customFormat="1" x14ac:dyDescent="0.35">
      <c r="A344" s="21"/>
      <c r="B344" s="21"/>
      <c r="D344" s="21" t="s">
        <v>137</v>
      </c>
      <c r="E344" s="21" t="s">
        <v>138</v>
      </c>
      <c r="G344" s="17">
        <v>8</v>
      </c>
      <c r="H344" s="93"/>
      <c r="T344"/>
      <c r="U344"/>
      <c r="V344"/>
      <c r="W344"/>
      <c r="X344"/>
      <c r="Y344"/>
      <c r="Z344"/>
      <c r="AA344"/>
    </row>
    <row r="345" spans="1:27" s="49" customFormat="1" ht="21.75" thickBot="1" x14ac:dyDescent="0.4">
      <c r="A345" s="48"/>
      <c r="B345" s="48"/>
      <c r="D345" s="48"/>
      <c r="E345" s="48"/>
      <c r="H345" s="94"/>
      <c r="T345" s="76"/>
      <c r="U345" s="76"/>
      <c r="V345" s="76"/>
      <c r="W345" s="76"/>
      <c r="X345" s="76"/>
      <c r="Y345" s="76"/>
      <c r="Z345" s="76"/>
      <c r="AA345" s="76"/>
    </row>
    <row r="346" spans="1:27" s="47" customFormat="1" x14ac:dyDescent="0.35">
      <c r="A346" s="46" t="s">
        <v>11</v>
      </c>
      <c r="B346" s="46" t="s">
        <v>163</v>
      </c>
      <c r="C346" s="53">
        <v>5014</v>
      </c>
      <c r="D346" s="46" t="s">
        <v>76</v>
      </c>
      <c r="E346" s="46" t="s">
        <v>150</v>
      </c>
      <c r="F346" s="47" t="s">
        <v>280</v>
      </c>
      <c r="G346" s="47">
        <v>7</v>
      </c>
      <c r="H346" s="95">
        <v>46182</v>
      </c>
      <c r="I346" s="47">
        <v>1.75</v>
      </c>
      <c r="K346" s="47">
        <v>1.75</v>
      </c>
      <c r="M346" s="47">
        <v>1.75</v>
      </c>
      <c r="N346" s="47">
        <v>1.75</v>
      </c>
      <c r="T346"/>
      <c r="U346"/>
      <c r="V346"/>
      <c r="W346"/>
      <c r="X346"/>
      <c r="Y346"/>
      <c r="Z346"/>
      <c r="AA346"/>
    </row>
    <row r="347" spans="1:27" s="17" customFormat="1" x14ac:dyDescent="0.35">
      <c r="A347" s="21"/>
      <c r="B347" s="21"/>
      <c r="D347" s="21" t="s">
        <v>106</v>
      </c>
      <c r="E347" s="21" t="s">
        <v>69</v>
      </c>
      <c r="G347" s="17">
        <v>7</v>
      </c>
      <c r="H347" s="93"/>
      <c r="I347" s="17">
        <v>1.75</v>
      </c>
      <c r="K347" s="17">
        <v>1.75</v>
      </c>
      <c r="M347" s="17">
        <v>1.75</v>
      </c>
      <c r="N347" s="17">
        <v>1.75</v>
      </c>
      <c r="T347"/>
      <c r="U347"/>
      <c r="V347"/>
      <c r="W347"/>
      <c r="X347"/>
      <c r="Y347"/>
      <c r="Z347"/>
      <c r="AA347"/>
    </row>
    <row r="348" spans="1:27" s="17" customFormat="1" x14ac:dyDescent="0.35">
      <c r="A348" s="21"/>
      <c r="B348" s="21"/>
      <c r="D348" s="21" t="s">
        <v>77</v>
      </c>
      <c r="E348" s="21" t="s">
        <v>20</v>
      </c>
      <c r="G348" s="17">
        <v>7</v>
      </c>
      <c r="H348" s="93"/>
      <c r="T348"/>
      <c r="U348"/>
      <c r="V348"/>
      <c r="W348"/>
      <c r="X348"/>
      <c r="Y348"/>
      <c r="Z348"/>
      <c r="AA348"/>
    </row>
    <row r="349" spans="1:27" s="17" customFormat="1" x14ac:dyDescent="0.35">
      <c r="A349" s="21"/>
      <c r="B349" s="21"/>
      <c r="D349" s="21" t="s">
        <v>91</v>
      </c>
      <c r="E349" s="21" t="s">
        <v>27</v>
      </c>
      <c r="G349" s="17">
        <v>7</v>
      </c>
      <c r="H349" s="93"/>
      <c r="T349"/>
      <c r="U349"/>
      <c r="V349"/>
      <c r="W349"/>
      <c r="X349"/>
      <c r="Y349"/>
      <c r="Z349"/>
      <c r="AA349"/>
    </row>
    <row r="350" spans="1:27" s="17" customFormat="1" x14ac:dyDescent="0.35">
      <c r="A350" s="21"/>
      <c r="B350" s="21"/>
      <c r="D350" s="21" t="s">
        <v>93</v>
      </c>
      <c r="E350" s="21" t="s">
        <v>14</v>
      </c>
      <c r="G350" s="17">
        <v>7</v>
      </c>
      <c r="H350" s="93"/>
      <c r="I350" s="17">
        <v>1.75</v>
      </c>
      <c r="K350" s="17">
        <v>1.75</v>
      </c>
      <c r="M350" s="17">
        <v>1.75</v>
      </c>
      <c r="N350" s="17">
        <v>1.75</v>
      </c>
      <c r="T350"/>
      <c r="U350"/>
      <c r="V350"/>
      <c r="W350"/>
      <c r="X350"/>
      <c r="Y350"/>
      <c r="Z350"/>
      <c r="AA350"/>
    </row>
    <row r="351" spans="1:27" s="17" customFormat="1" x14ac:dyDescent="0.35">
      <c r="A351" s="21"/>
      <c r="B351" s="21"/>
      <c r="D351" s="21" t="s">
        <v>129</v>
      </c>
      <c r="E351" s="21" t="s">
        <v>667</v>
      </c>
      <c r="G351" s="17">
        <v>7</v>
      </c>
      <c r="H351" s="93"/>
      <c r="I351" s="17">
        <v>3.5</v>
      </c>
      <c r="K351" s="17">
        <v>1.75</v>
      </c>
      <c r="M351" s="17">
        <v>1.75</v>
      </c>
      <c r="N351" s="17">
        <v>1.75</v>
      </c>
      <c r="T351"/>
      <c r="U351"/>
      <c r="V351"/>
      <c r="W351"/>
      <c r="X351"/>
      <c r="Y351"/>
      <c r="Z351"/>
      <c r="AA351"/>
    </row>
    <row r="352" spans="1:27" s="17" customFormat="1" x14ac:dyDescent="0.35">
      <c r="A352" s="21"/>
      <c r="B352" s="21"/>
      <c r="D352" s="21" t="s">
        <v>87</v>
      </c>
      <c r="E352" s="21" t="s">
        <v>419</v>
      </c>
      <c r="G352" s="17">
        <v>7</v>
      </c>
      <c r="H352" s="93"/>
      <c r="I352" s="17">
        <v>3.5</v>
      </c>
      <c r="K352" s="17">
        <v>1.75</v>
      </c>
      <c r="M352" s="17">
        <v>1.75</v>
      </c>
      <c r="N352" s="17">
        <v>1.75</v>
      </c>
      <c r="T352"/>
      <c r="U352"/>
      <c r="V352"/>
      <c r="W352"/>
      <c r="X352"/>
      <c r="Y352"/>
      <c r="Z352"/>
      <c r="AA352"/>
    </row>
    <row r="353" spans="1:27" s="17" customFormat="1" x14ac:dyDescent="0.35">
      <c r="A353" s="21"/>
      <c r="B353" s="21"/>
      <c r="D353" s="21" t="s">
        <v>79</v>
      </c>
      <c r="E353" s="21" t="s">
        <v>317</v>
      </c>
      <c r="G353" s="17">
        <v>7</v>
      </c>
      <c r="H353" s="93"/>
      <c r="I353" s="17">
        <v>3.5</v>
      </c>
      <c r="K353" s="17">
        <v>1.75</v>
      </c>
      <c r="M353" s="17">
        <v>1.75</v>
      </c>
      <c r="N353" s="17">
        <v>1.75</v>
      </c>
      <c r="T353"/>
      <c r="U353"/>
      <c r="V353"/>
      <c r="W353"/>
      <c r="X353"/>
      <c r="Y353"/>
      <c r="Z353"/>
      <c r="AA353"/>
    </row>
    <row r="354" spans="1:27" s="17" customFormat="1" x14ac:dyDescent="0.35">
      <c r="A354" s="21"/>
      <c r="B354" s="21"/>
      <c r="D354" s="21" t="s">
        <v>81</v>
      </c>
      <c r="E354" s="21" t="s">
        <v>496</v>
      </c>
      <c r="G354" s="17">
        <v>7</v>
      </c>
      <c r="H354" s="93"/>
      <c r="I354" s="17">
        <v>1.75</v>
      </c>
      <c r="K354" s="17">
        <v>1.75</v>
      </c>
      <c r="M354" s="17">
        <v>1.75</v>
      </c>
      <c r="T354"/>
      <c r="U354"/>
      <c r="V354"/>
      <c r="W354"/>
      <c r="X354"/>
      <c r="Y354"/>
      <c r="Z354"/>
      <c r="AA354"/>
    </row>
    <row r="355" spans="1:27" s="49" customFormat="1" ht="21.75" thickBot="1" x14ac:dyDescent="0.4">
      <c r="A355" s="48"/>
      <c r="B355" s="48"/>
      <c r="D355" s="48"/>
      <c r="E355" s="48"/>
      <c r="H355" s="94"/>
      <c r="T355" s="76"/>
      <c r="U355" s="76"/>
      <c r="V355" s="76"/>
      <c r="W355" s="76"/>
      <c r="X355" s="76"/>
      <c r="Y355" s="76"/>
      <c r="Z355" s="76"/>
      <c r="AA355" s="76"/>
    </row>
    <row r="356" spans="1:27" s="47" customFormat="1" x14ac:dyDescent="0.35">
      <c r="A356" s="46" t="s">
        <v>11</v>
      </c>
      <c r="B356" s="46" t="s">
        <v>163</v>
      </c>
      <c r="C356" s="54">
        <v>5015</v>
      </c>
      <c r="D356" s="46" t="s">
        <v>159</v>
      </c>
      <c r="E356" s="46" t="s">
        <v>160</v>
      </c>
      <c r="F356" s="47" t="s">
        <v>669</v>
      </c>
      <c r="G356" s="47">
        <v>1</v>
      </c>
      <c r="H356" s="95">
        <v>46182</v>
      </c>
      <c r="K356" s="47">
        <v>0.5</v>
      </c>
      <c r="N356" s="47">
        <v>0.5</v>
      </c>
      <c r="T356"/>
      <c r="U356"/>
      <c r="V356"/>
      <c r="W356"/>
      <c r="X356"/>
      <c r="Y356"/>
      <c r="Z356"/>
      <c r="AA356"/>
    </row>
    <row r="357" spans="1:27" s="17" customFormat="1" x14ac:dyDescent="0.35">
      <c r="A357" s="21"/>
      <c r="B357" s="21"/>
      <c r="D357" s="21" t="s">
        <v>348</v>
      </c>
      <c r="E357" s="21" t="s">
        <v>349</v>
      </c>
      <c r="G357" s="17">
        <v>1</v>
      </c>
      <c r="H357" s="93"/>
      <c r="K357" s="17">
        <v>0.5</v>
      </c>
      <c r="N357" s="17">
        <v>0.5</v>
      </c>
      <c r="T357"/>
      <c r="U357"/>
      <c r="V357"/>
      <c r="W357"/>
      <c r="X357"/>
      <c r="Y357"/>
      <c r="Z357"/>
      <c r="AA357"/>
    </row>
    <row r="358" spans="1:27" s="17" customFormat="1" x14ac:dyDescent="0.35">
      <c r="A358" s="21"/>
      <c r="B358" s="21"/>
      <c r="D358" s="21" t="s">
        <v>77</v>
      </c>
      <c r="E358" s="21" t="s">
        <v>20</v>
      </c>
      <c r="G358" s="17">
        <v>1</v>
      </c>
      <c r="H358" s="93"/>
      <c r="T358"/>
      <c r="U358"/>
      <c r="V358"/>
      <c r="W358"/>
      <c r="X358"/>
      <c r="Y358"/>
      <c r="Z358"/>
      <c r="AA358"/>
    </row>
    <row r="359" spans="1:27" s="17" customFormat="1" x14ac:dyDescent="0.35">
      <c r="A359" s="21"/>
      <c r="B359" s="21"/>
      <c r="D359" s="21" t="s">
        <v>91</v>
      </c>
      <c r="E359" s="21" t="s">
        <v>27</v>
      </c>
      <c r="G359" s="17">
        <v>1</v>
      </c>
      <c r="H359" s="93"/>
      <c r="K359" s="17">
        <v>0.5</v>
      </c>
      <c r="N359" s="17">
        <v>0.5</v>
      </c>
      <c r="T359"/>
      <c r="U359"/>
      <c r="V359"/>
      <c r="W359"/>
      <c r="X359"/>
      <c r="Y359"/>
      <c r="Z359"/>
      <c r="AA359"/>
    </row>
    <row r="360" spans="1:27" s="17" customFormat="1" x14ac:dyDescent="0.35">
      <c r="A360" s="21"/>
      <c r="B360" s="21"/>
      <c r="D360" s="21" t="s">
        <v>93</v>
      </c>
      <c r="E360" s="21" t="s">
        <v>14</v>
      </c>
      <c r="G360" s="17">
        <v>1</v>
      </c>
      <c r="H360" s="93"/>
      <c r="K360" s="17">
        <v>0.5</v>
      </c>
      <c r="N360" s="17">
        <v>0.5</v>
      </c>
      <c r="T360"/>
      <c r="U360"/>
      <c r="V360"/>
      <c r="W360"/>
      <c r="X360"/>
      <c r="Y360"/>
      <c r="Z360"/>
      <c r="AA360"/>
    </row>
    <row r="361" spans="1:27" s="17" customFormat="1" x14ac:dyDescent="0.35">
      <c r="A361" s="21"/>
      <c r="B361" s="21"/>
      <c r="D361" s="21" t="s">
        <v>99</v>
      </c>
      <c r="E361" s="21" t="s">
        <v>418</v>
      </c>
      <c r="G361" s="17">
        <v>1</v>
      </c>
      <c r="H361" s="93"/>
      <c r="K361" s="17">
        <v>0.5</v>
      </c>
      <c r="N361" s="17">
        <v>0.5</v>
      </c>
      <c r="T361"/>
      <c r="U361"/>
      <c r="V361"/>
      <c r="W361"/>
      <c r="X361"/>
      <c r="Y361"/>
      <c r="Z361"/>
      <c r="AA361"/>
    </row>
    <row r="362" spans="1:27" s="17" customFormat="1" x14ac:dyDescent="0.35">
      <c r="A362" s="21"/>
      <c r="B362" s="21"/>
      <c r="D362" s="21" t="s">
        <v>85</v>
      </c>
      <c r="E362" s="21" t="s">
        <v>387</v>
      </c>
      <c r="G362" s="17">
        <v>1</v>
      </c>
      <c r="H362" s="93"/>
      <c r="K362" s="17">
        <v>0.5</v>
      </c>
      <c r="N362" s="17">
        <v>0.5</v>
      </c>
      <c r="T362"/>
      <c r="U362"/>
      <c r="V362"/>
      <c r="W362"/>
      <c r="X362"/>
      <c r="Y362"/>
      <c r="Z362"/>
      <c r="AA362"/>
    </row>
    <row r="363" spans="1:27" s="17" customFormat="1" x14ac:dyDescent="0.35">
      <c r="A363" s="21"/>
      <c r="B363" s="21"/>
      <c r="D363" s="21" t="s">
        <v>79</v>
      </c>
      <c r="E363" s="89" t="s">
        <v>305</v>
      </c>
      <c r="G363" s="17">
        <v>1</v>
      </c>
      <c r="H363" s="93"/>
      <c r="K363" s="17">
        <v>0.5</v>
      </c>
      <c r="N363" s="17">
        <v>0.5</v>
      </c>
      <c r="T363"/>
      <c r="U363"/>
      <c r="V363"/>
      <c r="W363"/>
      <c r="X363"/>
      <c r="Y363"/>
      <c r="Z363"/>
      <c r="AA363"/>
    </row>
    <row r="364" spans="1:27" s="17" customFormat="1" x14ac:dyDescent="0.35">
      <c r="A364" s="21"/>
      <c r="B364" s="21"/>
      <c r="D364" s="21" t="s">
        <v>81</v>
      </c>
      <c r="E364" s="21" t="s">
        <v>668</v>
      </c>
      <c r="G364" s="17">
        <v>1</v>
      </c>
      <c r="H364" s="93"/>
      <c r="K364" s="17">
        <v>0.5</v>
      </c>
      <c r="N364" s="17">
        <v>0.5</v>
      </c>
      <c r="T364"/>
      <c r="U364"/>
      <c r="V364"/>
      <c r="W364"/>
      <c r="X364"/>
      <c r="Y364"/>
      <c r="Z364"/>
      <c r="AA364"/>
    </row>
    <row r="365" spans="1:27" s="17" customFormat="1" x14ac:dyDescent="0.35">
      <c r="A365" s="21"/>
      <c r="B365" s="21"/>
      <c r="D365" s="21" t="s">
        <v>470</v>
      </c>
      <c r="E365" s="21" t="s">
        <v>471</v>
      </c>
      <c r="G365" s="17">
        <v>1</v>
      </c>
      <c r="H365" s="93"/>
      <c r="T365"/>
      <c r="U365"/>
      <c r="V365"/>
      <c r="W365"/>
      <c r="X365"/>
      <c r="Y365"/>
      <c r="Z365"/>
      <c r="AA365"/>
    </row>
    <row r="366" spans="1:27" s="49" customFormat="1" ht="21.75" thickBot="1" x14ac:dyDescent="0.4">
      <c r="A366" s="48"/>
      <c r="B366" s="48"/>
      <c r="D366" s="48"/>
      <c r="E366" s="48"/>
      <c r="H366" s="94"/>
      <c r="T366" s="76"/>
      <c r="U366" s="76"/>
      <c r="V366" s="76"/>
      <c r="W366" s="76"/>
      <c r="X366" s="76"/>
      <c r="Y366" s="76"/>
      <c r="Z366" s="76"/>
      <c r="AA366" s="76"/>
    </row>
    <row r="367" spans="1:27" s="47" customFormat="1" x14ac:dyDescent="0.35">
      <c r="A367" s="46" t="s">
        <v>670</v>
      </c>
      <c r="B367" s="46" t="s">
        <v>671</v>
      </c>
      <c r="C367" s="53">
        <v>5016</v>
      </c>
      <c r="D367" s="46" t="s">
        <v>672</v>
      </c>
      <c r="E367" s="46" t="s">
        <v>673</v>
      </c>
      <c r="F367" s="47" t="s">
        <v>674</v>
      </c>
      <c r="G367" s="47">
        <v>1</v>
      </c>
      <c r="H367" s="95">
        <v>46182</v>
      </c>
      <c r="T367"/>
      <c r="U367"/>
      <c r="V367"/>
      <c r="W367"/>
      <c r="X367"/>
      <c r="Y367"/>
      <c r="Z367"/>
      <c r="AA367"/>
    </row>
    <row r="368" spans="1:27" s="49" customFormat="1" ht="21.75" thickBot="1" x14ac:dyDescent="0.4">
      <c r="A368" s="48"/>
      <c r="B368" s="48"/>
      <c r="D368" s="48"/>
      <c r="E368" s="48"/>
      <c r="F368" s="106" t="s">
        <v>144</v>
      </c>
      <c r="H368" s="94"/>
      <c r="T368" s="76"/>
      <c r="U368" s="76"/>
      <c r="V368" s="76"/>
      <c r="W368" s="76"/>
      <c r="X368" s="76"/>
      <c r="Y368" s="76"/>
      <c r="Z368" s="76"/>
      <c r="AA368" s="76"/>
    </row>
    <row r="369" spans="1:27" s="47" customFormat="1" x14ac:dyDescent="0.35">
      <c r="A369" s="46" t="s">
        <v>675</v>
      </c>
      <c r="B369" s="46" t="s">
        <v>414</v>
      </c>
      <c r="C369" s="53">
        <v>5017</v>
      </c>
      <c r="D369" s="46" t="s">
        <v>676</v>
      </c>
      <c r="E369" s="46" t="s">
        <v>677</v>
      </c>
      <c r="F369" s="47" t="s">
        <v>678</v>
      </c>
      <c r="G369" s="47">
        <v>1</v>
      </c>
      <c r="H369" s="95">
        <v>46182</v>
      </c>
      <c r="T369"/>
      <c r="U369"/>
      <c r="V369"/>
      <c r="W369"/>
      <c r="X369"/>
      <c r="Y369"/>
      <c r="Z369"/>
      <c r="AA369"/>
    </row>
    <row r="370" spans="1:27" s="49" customFormat="1" ht="21.75" thickBot="1" x14ac:dyDescent="0.4">
      <c r="A370" s="48"/>
      <c r="B370" s="48"/>
      <c r="D370" s="48"/>
      <c r="E370" s="48"/>
      <c r="F370" s="106" t="s">
        <v>144</v>
      </c>
      <c r="H370" s="94"/>
      <c r="T370" s="76"/>
      <c r="U370" s="76"/>
      <c r="V370" s="76"/>
      <c r="W370" s="76"/>
      <c r="X370" s="76"/>
      <c r="Y370" s="76"/>
      <c r="Z370" s="76"/>
      <c r="AA370" s="76"/>
    </row>
    <row r="371" spans="1:27" s="47" customFormat="1" x14ac:dyDescent="0.35">
      <c r="A371" s="46" t="s">
        <v>675</v>
      </c>
      <c r="B371" s="46" t="s">
        <v>414</v>
      </c>
      <c r="C371" s="53">
        <v>5018</v>
      </c>
      <c r="D371" s="46" t="s">
        <v>676</v>
      </c>
      <c r="E371" s="46" t="s">
        <v>677</v>
      </c>
      <c r="F371" s="47">
        <v>1</v>
      </c>
      <c r="H371" s="95">
        <v>46182</v>
      </c>
      <c r="T371"/>
      <c r="U371"/>
      <c r="V371"/>
      <c r="W371"/>
      <c r="X371"/>
      <c r="Y371"/>
      <c r="Z371"/>
      <c r="AA371"/>
    </row>
    <row r="372" spans="1:27" s="49" customFormat="1" ht="21.75" thickBot="1" x14ac:dyDescent="0.4">
      <c r="A372" s="48"/>
      <c r="B372" s="48"/>
      <c r="D372" s="48"/>
      <c r="E372" s="48"/>
      <c r="F372" s="106" t="s">
        <v>144</v>
      </c>
      <c r="H372" s="94"/>
      <c r="T372" s="76"/>
      <c r="U372" s="76"/>
      <c r="V372" s="76"/>
      <c r="W372" s="76"/>
      <c r="X372" s="76"/>
      <c r="Y372" s="76"/>
      <c r="Z372" s="76"/>
      <c r="AA372" s="76"/>
    </row>
    <row r="373" spans="1:27" s="47" customFormat="1" x14ac:dyDescent="0.35">
      <c r="A373" s="46" t="s">
        <v>11</v>
      </c>
      <c r="B373" s="46" t="s">
        <v>163</v>
      </c>
      <c r="C373" s="47">
        <v>5019</v>
      </c>
      <c r="D373" s="46" t="s">
        <v>530</v>
      </c>
      <c r="E373" s="46" t="s">
        <v>531</v>
      </c>
      <c r="F373" s="47" t="s">
        <v>680</v>
      </c>
      <c r="G373" s="47">
        <v>3</v>
      </c>
      <c r="H373" s="95">
        <v>46182</v>
      </c>
      <c r="T373"/>
      <c r="U373"/>
      <c r="V373"/>
      <c r="W373"/>
      <c r="X373"/>
      <c r="Y373"/>
      <c r="Z373"/>
      <c r="AA373"/>
    </row>
    <row r="374" spans="1:27" s="17" customFormat="1" x14ac:dyDescent="0.35">
      <c r="A374" s="21"/>
      <c r="B374" s="21"/>
      <c r="D374" s="21" t="s">
        <v>530</v>
      </c>
      <c r="E374" s="21" t="s">
        <v>531</v>
      </c>
      <c r="G374" s="17">
        <v>1</v>
      </c>
      <c r="H374" s="93"/>
      <c r="T374"/>
      <c r="U374"/>
      <c r="V374"/>
      <c r="W374"/>
      <c r="X374"/>
      <c r="Y374"/>
      <c r="Z374"/>
      <c r="AA374"/>
    </row>
    <row r="375" spans="1:27" s="17" customFormat="1" x14ac:dyDescent="0.35">
      <c r="A375" s="21"/>
      <c r="B375" s="21"/>
      <c r="D375" s="21" t="s">
        <v>532</v>
      </c>
      <c r="E375" s="21" t="s">
        <v>533</v>
      </c>
      <c r="F375" s="109" t="s">
        <v>772</v>
      </c>
      <c r="G375" s="17">
        <v>1</v>
      </c>
      <c r="H375" s="93"/>
      <c r="T375"/>
      <c r="U375"/>
      <c r="V375"/>
      <c r="W375"/>
      <c r="X375"/>
      <c r="Y375"/>
      <c r="Z375"/>
      <c r="AA375"/>
    </row>
    <row r="376" spans="1:27" s="17" customFormat="1" x14ac:dyDescent="0.35">
      <c r="A376" s="21"/>
      <c r="B376" s="21"/>
      <c r="D376" s="21" t="s">
        <v>534</v>
      </c>
      <c r="E376" s="21" t="s">
        <v>535</v>
      </c>
      <c r="G376" s="17">
        <v>1</v>
      </c>
      <c r="H376" s="93"/>
      <c r="T376"/>
      <c r="U376"/>
      <c r="V376"/>
      <c r="W376"/>
      <c r="X376"/>
      <c r="Y376"/>
      <c r="Z376"/>
      <c r="AA376"/>
    </row>
    <row r="377" spans="1:27" s="17" customFormat="1" x14ac:dyDescent="0.35">
      <c r="A377" s="21"/>
      <c r="B377" s="21"/>
      <c r="D377" s="21" t="s">
        <v>536</v>
      </c>
      <c r="E377" s="21" t="s">
        <v>537</v>
      </c>
      <c r="G377" s="17">
        <v>1</v>
      </c>
      <c r="H377" s="93"/>
      <c r="T377"/>
      <c r="U377"/>
      <c r="V377"/>
      <c r="W377"/>
      <c r="X377"/>
      <c r="Y377"/>
      <c r="Z377"/>
      <c r="AA377"/>
    </row>
    <row r="378" spans="1:27" s="17" customFormat="1" x14ac:dyDescent="0.35">
      <c r="A378" s="21"/>
      <c r="B378" s="21"/>
      <c r="D378" s="21" t="s">
        <v>154</v>
      </c>
      <c r="E378" s="21" t="s">
        <v>155</v>
      </c>
      <c r="G378" s="17">
        <v>1</v>
      </c>
      <c r="H378" s="93"/>
      <c r="T378"/>
      <c r="U378"/>
      <c r="V378"/>
      <c r="W378"/>
      <c r="X378"/>
      <c r="Y378"/>
      <c r="Z378"/>
      <c r="AA378"/>
    </row>
    <row r="379" spans="1:27" s="17" customFormat="1" x14ac:dyDescent="0.35">
      <c r="A379" s="21"/>
      <c r="B379" s="21"/>
      <c r="D379" s="21" t="s">
        <v>538</v>
      </c>
      <c r="E379" s="21" t="s">
        <v>539</v>
      </c>
      <c r="G379" s="17">
        <v>1</v>
      </c>
      <c r="H379" s="93"/>
      <c r="T379"/>
      <c r="U379"/>
      <c r="V379"/>
      <c r="W379"/>
      <c r="X379"/>
      <c r="Y379"/>
      <c r="Z379"/>
      <c r="AA379"/>
    </row>
    <row r="380" spans="1:27" s="17" customFormat="1" x14ac:dyDescent="0.35">
      <c r="A380" s="21"/>
      <c r="B380" s="21"/>
      <c r="D380" s="21" t="s">
        <v>540</v>
      </c>
      <c r="E380" s="21" t="s">
        <v>541</v>
      </c>
      <c r="G380" s="17">
        <v>1</v>
      </c>
      <c r="H380" s="93"/>
      <c r="T380"/>
      <c r="U380"/>
      <c r="V380"/>
      <c r="W380"/>
      <c r="X380"/>
      <c r="Y380"/>
      <c r="Z380"/>
      <c r="AA380"/>
    </row>
    <row r="381" spans="1:27" s="17" customFormat="1" x14ac:dyDescent="0.35">
      <c r="A381" s="21"/>
      <c r="B381" s="21"/>
      <c r="D381" s="21" t="s">
        <v>170</v>
      </c>
      <c r="E381" s="21" t="s">
        <v>171</v>
      </c>
      <c r="G381" s="17">
        <v>1</v>
      </c>
      <c r="H381" s="93"/>
      <c r="T381"/>
      <c r="U381"/>
      <c r="V381"/>
      <c r="W381"/>
      <c r="X381"/>
      <c r="Y381"/>
      <c r="Z381"/>
      <c r="AA381"/>
    </row>
    <row r="382" spans="1:27" s="17" customFormat="1" x14ac:dyDescent="0.35">
      <c r="A382" s="21"/>
      <c r="B382" s="21"/>
      <c r="D382" s="21" t="s">
        <v>542</v>
      </c>
      <c r="E382" s="21" t="s">
        <v>543</v>
      </c>
      <c r="G382" s="17">
        <v>1</v>
      </c>
      <c r="H382" s="93"/>
      <c r="T382"/>
      <c r="U382"/>
      <c r="V382"/>
      <c r="W382"/>
      <c r="X382"/>
      <c r="Y382"/>
      <c r="Z382"/>
      <c r="AA382"/>
    </row>
    <row r="383" spans="1:27" s="17" customFormat="1" x14ac:dyDescent="0.35">
      <c r="A383" s="21"/>
      <c r="B383" s="21"/>
      <c r="D383" s="21" t="s">
        <v>544</v>
      </c>
      <c r="E383" s="21" t="s">
        <v>545</v>
      </c>
      <c r="G383" s="17">
        <v>1</v>
      </c>
      <c r="H383" s="93"/>
      <c r="T383"/>
      <c r="U383"/>
      <c r="V383"/>
      <c r="W383"/>
      <c r="X383"/>
      <c r="Y383"/>
      <c r="Z383"/>
      <c r="AA383"/>
    </row>
    <row r="384" spans="1:27" s="17" customFormat="1" x14ac:dyDescent="0.35">
      <c r="A384" s="21"/>
      <c r="B384" s="21"/>
      <c r="D384" s="21" t="s">
        <v>546</v>
      </c>
      <c r="E384" s="21" t="s">
        <v>547</v>
      </c>
      <c r="G384" s="17">
        <v>2</v>
      </c>
      <c r="H384" s="93"/>
      <c r="T384"/>
      <c r="U384"/>
      <c r="V384"/>
      <c r="W384"/>
      <c r="X384"/>
      <c r="Y384"/>
      <c r="Z384"/>
      <c r="AA384"/>
    </row>
    <row r="385" spans="1:27" s="17" customFormat="1" x14ac:dyDescent="0.35">
      <c r="A385" s="21"/>
      <c r="B385" s="21"/>
      <c r="D385" s="21" t="s">
        <v>322</v>
      </c>
      <c r="E385" s="21" t="s">
        <v>323</v>
      </c>
      <c r="G385" s="17">
        <v>2</v>
      </c>
      <c r="H385" s="93"/>
      <c r="T385"/>
      <c r="U385"/>
      <c r="V385"/>
      <c r="W385"/>
      <c r="X385"/>
      <c r="Y385"/>
      <c r="Z385"/>
      <c r="AA385"/>
    </row>
    <row r="386" spans="1:27" s="17" customFormat="1" x14ac:dyDescent="0.35">
      <c r="A386" s="21"/>
      <c r="B386" s="21"/>
      <c r="D386" s="21" t="s">
        <v>548</v>
      </c>
      <c r="E386" s="21" t="s">
        <v>549</v>
      </c>
      <c r="G386" s="17">
        <v>1</v>
      </c>
      <c r="H386" s="93"/>
      <c r="T386"/>
      <c r="U386"/>
      <c r="V386"/>
      <c r="W386"/>
      <c r="X386"/>
      <c r="Y386"/>
      <c r="Z386"/>
      <c r="AA386"/>
    </row>
    <row r="387" spans="1:27" s="17" customFormat="1" x14ac:dyDescent="0.35">
      <c r="A387" s="21"/>
      <c r="B387" s="21"/>
      <c r="D387" s="21" t="s">
        <v>548</v>
      </c>
      <c r="E387" s="21" t="s">
        <v>549</v>
      </c>
      <c r="G387" s="17">
        <v>1</v>
      </c>
      <c r="H387" s="93"/>
      <c r="T387"/>
      <c r="U387"/>
      <c r="V387"/>
      <c r="W387"/>
      <c r="X387"/>
      <c r="Y387"/>
      <c r="Z387"/>
      <c r="AA387"/>
    </row>
    <row r="388" spans="1:27" s="17" customFormat="1" x14ac:dyDescent="0.35">
      <c r="A388" s="21"/>
      <c r="B388" s="21"/>
      <c r="D388" s="21" t="s">
        <v>528</v>
      </c>
      <c r="E388" s="21" t="s">
        <v>529</v>
      </c>
      <c r="G388" s="17">
        <v>1</v>
      </c>
      <c r="H388" s="93"/>
      <c r="T388"/>
      <c r="U388"/>
      <c r="V388"/>
      <c r="W388"/>
      <c r="X388"/>
      <c r="Y388"/>
      <c r="Z388"/>
      <c r="AA388"/>
    </row>
    <row r="389" spans="1:27" s="17" customFormat="1" x14ac:dyDescent="0.35">
      <c r="A389" s="21"/>
      <c r="B389" s="21"/>
      <c r="D389" s="21" t="s">
        <v>550</v>
      </c>
      <c r="E389" s="21" t="s">
        <v>551</v>
      </c>
      <c r="G389" s="17">
        <v>1</v>
      </c>
      <c r="H389" s="93"/>
      <c r="T389"/>
      <c r="U389"/>
      <c r="V389"/>
      <c r="W389"/>
      <c r="X389"/>
      <c r="Y389"/>
      <c r="Z389"/>
      <c r="AA389"/>
    </row>
    <row r="390" spans="1:27" s="17" customFormat="1" x14ac:dyDescent="0.35">
      <c r="A390" s="21"/>
      <c r="B390" s="21"/>
      <c r="D390" s="21" t="s">
        <v>552</v>
      </c>
      <c r="E390" s="21" t="s">
        <v>553</v>
      </c>
      <c r="G390" s="17">
        <v>2</v>
      </c>
      <c r="H390" s="93"/>
      <c r="T390"/>
      <c r="U390"/>
      <c r="V390"/>
      <c r="W390"/>
      <c r="X390"/>
      <c r="Y390"/>
      <c r="Z390"/>
      <c r="AA390"/>
    </row>
    <row r="391" spans="1:27" s="17" customFormat="1" x14ac:dyDescent="0.35">
      <c r="A391" s="21"/>
      <c r="B391" s="21"/>
      <c r="D391" s="21" t="s">
        <v>554</v>
      </c>
      <c r="E391" s="21" t="s">
        <v>555</v>
      </c>
      <c r="G391" s="17">
        <v>2</v>
      </c>
      <c r="H391" s="93"/>
      <c r="T391"/>
      <c r="U391"/>
      <c r="V391"/>
      <c r="W391"/>
      <c r="X391"/>
      <c r="Y391"/>
      <c r="Z391"/>
      <c r="AA391"/>
    </row>
    <row r="392" spans="1:27" s="17" customFormat="1" x14ac:dyDescent="0.35">
      <c r="A392" s="21"/>
      <c r="B392" s="21"/>
      <c r="D392" s="21" t="s">
        <v>596</v>
      </c>
      <c r="E392" s="21" t="s">
        <v>597</v>
      </c>
      <c r="G392" s="17">
        <v>1</v>
      </c>
      <c r="H392" s="93"/>
      <c r="T392"/>
      <c r="U392"/>
      <c r="V392"/>
      <c r="W392"/>
      <c r="X392"/>
      <c r="Y392"/>
      <c r="Z392"/>
      <c r="AA392"/>
    </row>
    <row r="393" spans="1:27" s="17" customFormat="1" x14ac:dyDescent="0.35">
      <c r="A393" s="21"/>
      <c r="B393" s="21"/>
      <c r="D393" s="21" t="s">
        <v>556</v>
      </c>
      <c r="E393" s="21" t="s">
        <v>557</v>
      </c>
      <c r="G393" s="17">
        <v>1</v>
      </c>
      <c r="H393" s="93"/>
      <c r="T393"/>
      <c r="U393"/>
      <c r="V393"/>
      <c r="W393"/>
      <c r="X393"/>
      <c r="Y393"/>
      <c r="Z393"/>
      <c r="AA393"/>
    </row>
    <row r="394" spans="1:27" s="17" customFormat="1" x14ac:dyDescent="0.35">
      <c r="A394" s="21"/>
      <c r="B394" s="21"/>
      <c r="D394" s="21" t="s">
        <v>232</v>
      </c>
      <c r="E394" s="21" t="s">
        <v>233</v>
      </c>
      <c r="G394" s="17">
        <v>1</v>
      </c>
      <c r="H394" s="93"/>
      <c r="T394"/>
      <c r="U394"/>
      <c r="V394"/>
      <c r="W394"/>
      <c r="X394"/>
      <c r="Y394"/>
      <c r="Z394"/>
      <c r="AA394"/>
    </row>
    <row r="395" spans="1:27" s="17" customFormat="1" x14ac:dyDescent="0.35">
      <c r="A395" s="21"/>
      <c r="B395" s="21"/>
      <c r="D395" s="21" t="s">
        <v>560</v>
      </c>
      <c r="E395" s="21" t="s">
        <v>561</v>
      </c>
      <c r="G395" s="17">
        <v>1</v>
      </c>
      <c r="H395" s="93"/>
      <c r="T395"/>
      <c r="U395"/>
      <c r="V395"/>
      <c r="W395"/>
      <c r="X395"/>
      <c r="Y395"/>
      <c r="Z395"/>
      <c r="AA395"/>
    </row>
    <row r="396" spans="1:27" s="17" customFormat="1" x14ac:dyDescent="0.35">
      <c r="A396" s="21"/>
      <c r="B396" s="21"/>
      <c r="D396" s="21" t="s">
        <v>112</v>
      </c>
      <c r="E396" s="21" t="s">
        <v>118</v>
      </c>
      <c r="G396" s="17">
        <v>2</v>
      </c>
      <c r="H396" s="93"/>
      <c r="T396"/>
      <c r="U396"/>
      <c r="V396"/>
      <c r="W396"/>
      <c r="X396"/>
      <c r="Y396"/>
      <c r="Z396"/>
      <c r="AA396"/>
    </row>
    <row r="397" spans="1:27" s="17" customFormat="1" x14ac:dyDescent="0.35">
      <c r="A397" s="21"/>
      <c r="B397" s="21"/>
      <c r="D397" s="21" t="s">
        <v>562</v>
      </c>
      <c r="E397" s="21" t="s">
        <v>563</v>
      </c>
      <c r="G397" s="17">
        <v>3</v>
      </c>
      <c r="H397" s="93"/>
      <c r="T397"/>
      <c r="U397"/>
      <c r="V397"/>
      <c r="W397"/>
      <c r="X397"/>
      <c r="Y397"/>
      <c r="Z397"/>
      <c r="AA397"/>
    </row>
    <row r="398" spans="1:27" s="17" customFormat="1" x14ac:dyDescent="0.35">
      <c r="A398" s="21"/>
      <c r="B398" s="21"/>
      <c r="D398" s="21" t="s">
        <v>324</v>
      </c>
      <c r="E398" s="21" t="s">
        <v>325</v>
      </c>
      <c r="G398" s="17">
        <v>4</v>
      </c>
      <c r="H398" s="93"/>
      <c r="T398"/>
      <c r="U398"/>
      <c r="V398"/>
      <c r="W398"/>
      <c r="X398"/>
      <c r="Y398"/>
      <c r="Z398"/>
      <c r="AA398"/>
    </row>
    <row r="399" spans="1:27" s="17" customFormat="1" x14ac:dyDescent="0.35">
      <c r="A399" s="21"/>
      <c r="B399" s="21"/>
      <c r="D399" s="21" t="s">
        <v>239</v>
      </c>
      <c r="E399" s="21" t="s">
        <v>240</v>
      </c>
      <c r="G399" s="17">
        <v>2</v>
      </c>
      <c r="H399" s="93"/>
      <c r="T399"/>
      <c r="U399"/>
      <c r="V399"/>
      <c r="W399"/>
      <c r="X399"/>
      <c r="Y399"/>
      <c r="Z399"/>
      <c r="AA399"/>
    </row>
    <row r="400" spans="1:27" s="17" customFormat="1" x14ac:dyDescent="0.35">
      <c r="A400" s="21"/>
      <c r="B400" s="21"/>
      <c r="D400" s="21" t="s">
        <v>355</v>
      </c>
      <c r="E400" s="21" t="s">
        <v>356</v>
      </c>
      <c r="G400" s="17">
        <v>1</v>
      </c>
      <c r="H400" s="93"/>
      <c r="T400"/>
      <c r="U400"/>
      <c r="V400"/>
      <c r="W400"/>
      <c r="X400"/>
      <c r="Y400"/>
      <c r="Z400"/>
      <c r="AA400"/>
    </row>
    <row r="401" spans="1:27" s="17" customFormat="1" x14ac:dyDescent="0.35">
      <c r="A401" s="21"/>
      <c r="B401" s="21"/>
      <c r="D401" s="21" t="s">
        <v>248</v>
      </c>
      <c r="E401" s="21" t="s">
        <v>249</v>
      </c>
      <c r="G401" s="17">
        <v>1</v>
      </c>
      <c r="H401" s="93"/>
      <c r="T401"/>
      <c r="U401"/>
      <c r="V401"/>
      <c r="W401"/>
      <c r="X401"/>
      <c r="Y401"/>
      <c r="Z401"/>
      <c r="AA401"/>
    </row>
    <row r="402" spans="1:27" s="17" customFormat="1" x14ac:dyDescent="0.35">
      <c r="A402" s="21"/>
      <c r="B402" s="21"/>
      <c r="D402" s="21" t="s">
        <v>113</v>
      </c>
      <c r="E402" s="21" t="s">
        <v>119</v>
      </c>
      <c r="G402" s="17">
        <v>1</v>
      </c>
      <c r="H402" s="93"/>
      <c r="T402"/>
      <c r="U402"/>
      <c r="V402"/>
      <c r="W402"/>
      <c r="X402"/>
      <c r="Y402"/>
      <c r="Z402"/>
      <c r="AA402"/>
    </row>
    <row r="403" spans="1:27" s="17" customFormat="1" x14ac:dyDescent="0.35">
      <c r="A403" s="21"/>
      <c r="B403" s="21"/>
      <c r="D403" s="21" t="s">
        <v>566</v>
      </c>
      <c r="E403" s="21" t="s">
        <v>567</v>
      </c>
      <c r="G403" s="17">
        <v>2</v>
      </c>
      <c r="H403" s="93"/>
      <c r="T403"/>
      <c r="U403"/>
      <c r="V403"/>
      <c r="W403"/>
      <c r="X403"/>
      <c r="Y403"/>
      <c r="Z403"/>
      <c r="AA403"/>
    </row>
    <row r="404" spans="1:27" s="17" customFormat="1" x14ac:dyDescent="0.35">
      <c r="A404" s="21"/>
      <c r="B404" s="21"/>
      <c r="D404" s="21" t="s">
        <v>568</v>
      </c>
      <c r="E404" s="21" t="s">
        <v>569</v>
      </c>
      <c r="G404" s="17">
        <v>1</v>
      </c>
      <c r="H404" s="93"/>
      <c r="T404"/>
      <c r="U404"/>
      <c r="V404"/>
      <c r="W404"/>
      <c r="X404"/>
      <c r="Y404"/>
      <c r="Z404"/>
      <c r="AA404"/>
    </row>
    <row r="405" spans="1:27" s="17" customFormat="1" x14ac:dyDescent="0.35">
      <c r="A405" s="21"/>
      <c r="B405" s="21"/>
      <c r="D405" s="21" t="s">
        <v>524</v>
      </c>
      <c r="E405" s="21" t="s">
        <v>525</v>
      </c>
      <c r="G405" s="17">
        <v>1</v>
      </c>
      <c r="H405" s="93"/>
      <c r="T405"/>
      <c r="U405"/>
      <c r="V405"/>
      <c r="W405"/>
      <c r="X405"/>
      <c r="Y405"/>
      <c r="Z405"/>
      <c r="AA405"/>
    </row>
    <row r="406" spans="1:27" s="17" customFormat="1" x14ac:dyDescent="0.35">
      <c r="A406" s="21"/>
      <c r="B406" s="21"/>
      <c r="D406" s="21" t="s">
        <v>570</v>
      </c>
      <c r="E406" s="21" t="s">
        <v>571</v>
      </c>
      <c r="G406" s="17">
        <v>1</v>
      </c>
      <c r="H406" s="93"/>
      <c r="T406"/>
      <c r="U406"/>
      <c r="V406"/>
      <c r="W406"/>
      <c r="X406"/>
      <c r="Y406"/>
      <c r="Z406"/>
      <c r="AA406"/>
    </row>
    <row r="407" spans="1:27" s="17" customFormat="1" x14ac:dyDescent="0.35">
      <c r="A407" s="21"/>
      <c r="B407" s="21"/>
      <c r="D407" s="21" t="s">
        <v>570</v>
      </c>
      <c r="E407" s="21" t="s">
        <v>571</v>
      </c>
      <c r="G407" s="17">
        <v>1</v>
      </c>
      <c r="H407" s="93"/>
      <c r="T407"/>
      <c r="U407"/>
      <c r="V407"/>
      <c r="W407"/>
      <c r="X407"/>
      <c r="Y407"/>
      <c r="Z407"/>
      <c r="AA407"/>
    </row>
    <row r="408" spans="1:27" s="17" customFormat="1" x14ac:dyDescent="0.35">
      <c r="A408" s="21"/>
      <c r="B408" s="21"/>
      <c r="D408" s="21" t="s">
        <v>572</v>
      </c>
      <c r="E408" s="21" t="s">
        <v>573</v>
      </c>
      <c r="G408" s="17">
        <v>2</v>
      </c>
      <c r="H408" s="93"/>
      <c r="T408"/>
      <c r="U408"/>
      <c r="V408"/>
      <c r="W408"/>
      <c r="X408"/>
      <c r="Y408"/>
      <c r="Z408"/>
      <c r="AA408"/>
    </row>
    <row r="409" spans="1:27" s="17" customFormat="1" x14ac:dyDescent="0.35">
      <c r="A409" s="21"/>
      <c r="B409" s="21"/>
      <c r="D409" s="21" t="s">
        <v>157</v>
      </c>
      <c r="E409" s="21" t="s">
        <v>158</v>
      </c>
      <c r="G409" s="17">
        <v>2</v>
      </c>
      <c r="H409" s="93"/>
      <c r="T409"/>
      <c r="U409"/>
      <c r="V409"/>
      <c r="W409"/>
      <c r="X409"/>
      <c r="Y409"/>
      <c r="Z409"/>
      <c r="AA409"/>
    </row>
    <row r="410" spans="1:27" s="17" customFormat="1" x14ac:dyDescent="0.35">
      <c r="A410" s="21"/>
      <c r="B410" s="21"/>
      <c r="D410" s="21" t="s">
        <v>598</v>
      </c>
      <c r="E410" s="21" t="s">
        <v>679</v>
      </c>
      <c r="G410" s="17">
        <v>3</v>
      </c>
      <c r="H410" s="93"/>
      <c r="T410"/>
      <c r="U410"/>
      <c r="V410"/>
      <c r="W410"/>
      <c r="X410"/>
      <c r="Y410"/>
      <c r="Z410"/>
      <c r="AA410"/>
    </row>
    <row r="411" spans="1:27" s="17" customFormat="1" x14ac:dyDescent="0.35">
      <c r="A411" s="21"/>
      <c r="B411" s="21"/>
      <c r="D411" s="21" t="s">
        <v>115</v>
      </c>
      <c r="E411" s="21" t="s">
        <v>121</v>
      </c>
      <c r="G411" s="17">
        <v>1</v>
      </c>
      <c r="H411" s="93"/>
      <c r="T411"/>
      <c r="U411"/>
      <c r="V411"/>
      <c r="W411"/>
      <c r="X411"/>
      <c r="Y411"/>
      <c r="Z411"/>
      <c r="AA411"/>
    </row>
    <row r="412" spans="1:27" s="17" customFormat="1" x14ac:dyDescent="0.35">
      <c r="A412" s="21"/>
      <c r="B412" s="21"/>
      <c r="D412" s="21" t="s">
        <v>574</v>
      </c>
      <c r="E412" s="21" t="s">
        <v>575</v>
      </c>
      <c r="G412" s="17">
        <v>4</v>
      </c>
      <c r="H412" s="93"/>
      <c r="T412"/>
      <c r="U412"/>
      <c r="V412"/>
      <c r="W412"/>
      <c r="X412"/>
      <c r="Y412"/>
      <c r="Z412"/>
      <c r="AA412"/>
    </row>
    <row r="413" spans="1:27" s="17" customFormat="1" x14ac:dyDescent="0.35">
      <c r="A413" s="21"/>
      <c r="B413" s="21"/>
      <c r="D413" s="21" t="s">
        <v>576</v>
      </c>
      <c r="E413" s="21" t="s">
        <v>577</v>
      </c>
      <c r="G413" s="17">
        <v>1</v>
      </c>
      <c r="H413" s="93"/>
      <c r="T413"/>
      <c r="U413"/>
      <c r="V413"/>
      <c r="W413"/>
      <c r="X413"/>
      <c r="Y413"/>
      <c r="Z413"/>
      <c r="AA413"/>
    </row>
    <row r="414" spans="1:27" s="17" customFormat="1" x14ac:dyDescent="0.35">
      <c r="A414" s="21"/>
      <c r="B414" s="21"/>
      <c r="D414" s="21" t="s">
        <v>578</v>
      </c>
      <c r="E414" s="21" t="s">
        <v>579</v>
      </c>
      <c r="G414" s="17">
        <v>1</v>
      </c>
      <c r="H414" s="93"/>
      <c r="T414"/>
      <c r="U414"/>
      <c r="V414"/>
      <c r="W414"/>
      <c r="X414"/>
      <c r="Y414"/>
      <c r="Z414"/>
      <c r="AA414"/>
    </row>
    <row r="415" spans="1:27" s="17" customFormat="1" x14ac:dyDescent="0.35">
      <c r="A415" s="21"/>
      <c r="B415" s="21"/>
      <c r="D415" s="21" t="s">
        <v>580</v>
      </c>
      <c r="E415" s="21" t="s">
        <v>581</v>
      </c>
      <c r="G415" s="17">
        <v>25</v>
      </c>
      <c r="H415" s="93"/>
      <c r="T415"/>
      <c r="U415"/>
      <c r="V415"/>
      <c r="W415"/>
      <c r="X415"/>
      <c r="Y415"/>
      <c r="Z415"/>
      <c r="AA415"/>
    </row>
    <row r="416" spans="1:27" s="49" customFormat="1" ht="21.75" thickBot="1" x14ac:dyDescent="0.4">
      <c r="A416" s="48"/>
      <c r="B416" s="48"/>
      <c r="D416" s="48"/>
      <c r="E416" s="48"/>
      <c r="H416" s="94"/>
      <c r="T416" s="76"/>
      <c r="U416" s="76"/>
      <c r="V416" s="76"/>
      <c r="W416" s="76"/>
      <c r="X416" s="76"/>
      <c r="Y416" s="76"/>
      <c r="Z416" s="76"/>
      <c r="AA416" s="76"/>
    </row>
    <row r="417" spans="1:27" s="47" customFormat="1" x14ac:dyDescent="0.35">
      <c r="A417" s="46" t="s">
        <v>682</v>
      </c>
      <c r="B417" s="46" t="s">
        <v>223</v>
      </c>
      <c r="C417" s="53">
        <v>5020</v>
      </c>
      <c r="D417" s="46"/>
      <c r="E417" s="46" t="s">
        <v>681</v>
      </c>
      <c r="F417" s="47" t="s">
        <v>683</v>
      </c>
      <c r="G417" s="47">
        <v>6</v>
      </c>
      <c r="H417" s="95">
        <v>46182</v>
      </c>
      <c r="I417" s="47" t="s">
        <v>126</v>
      </c>
      <c r="J417" s="47" t="s">
        <v>126</v>
      </c>
      <c r="M417" s="47" t="s">
        <v>126</v>
      </c>
      <c r="T417"/>
      <c r="U417"/>
      <c r="V417"/>
      <c r="W417"/>
      <c r="X417"/>
      <c r="Y417"/>
      <c r="Z417"/>
      <c r="AA417"/>
    </row>
    <row r="418" spans="1:27" s="49" customFormat="1" ht="21.75" thickBot="1" x14ac:dyDescent="0.4">
      <c r="A418" s="48"/>
      <c r="B418" s="48"/>
      <c r="D418" s="48"/>
      <c r="E418" s="48"/>
      <c r="H418" s="94"/>
      <c r="T418" s="76"/>
      <c r="U418" s="76"/>
      <c r="V418" s="76"/>
      <c r="W418" s="76"/>
      <c r="X418" s="76"/>
      <c r="Y418" s="76"/>
      <c r="Z418" s="76"/>
      <c r="AA418" s="76"/>
    </row>
    <row r="419" spans="1:27" s="47" customFormat="1" x14ac:dyDescent="0.35">
      <c r="A419" s="46" t="s">
        <v>684</v>
      </c>
      <c r="B419" s="46" t="s">
        <v>220</v>
      </c>
      <c r="C419" s="47">
        <v>5021</v>
      </c>
      <c r="D419" s="46" t="s">
        <v>685</v>
      </c>
      <c r="E419" s="46" t="s">
        <v>686</v>
      </c>
      <c r="F419" s="105" t="s">
        <v>219</v>
      </c>
      <c r="G419" s="47">
        <v>2</v>
      </c>
      <c r="H419" s="95">
        <v>46184</v>
      </c>
      <c r="T419"/>
      <c r="U419"/>
      <c r="V419"/>
      <c r="W419"/>
      <c r="X419"/>
      <c r="Y419"/>
      <c r="Z419"/>
      <c r="AA419"/>
    </row>
    <row r="420" spans="1:27" s="49" customFormat="1" ht="21.75" thickBot="1" x14ac:dyDescent="0.4">
      <c r="A420" s="48"/>
      <c r="B420" s="48"/>
      <c r="D420" s="48"/>
      <c r="E420" s="48"/>
      <c r="H420" s="94"/>
      <c r="T420" s="76"/>
      <c r="U420" s="76"/>
      <c r="V420" s="76"/>
      <c r="W420" s="76"/>
      <c r="X420" s="76"/>
      <c r="Y420" s="76"/>
      <c r="Z420" s="76"/>
      <c r="AA420" s="76"/>
    </row>
    <row r="421" spans="1:27" s="47" customFormat="1" x14ac:dyDescent="0.35">
      <c r="A421" s="46" t="s">
        <v>687</v>
      </c>
      <c r="B421" s="46" t="s">
        <v>220</v>
      </c>
      <c r="C421" s="47">
        <v>5022</v>
      </c>
      <c r="D421" s="46" t="s">
        <v>141</v>
      </c>
      <c r="E421" s="46" t="s">
        <v>151</v>
      </c>
      <c r="F421" s="105" t="s">
        <v>219</v>
      </c>
      <c r="G421" s="47">
        <v>1</v>
      </c>
      <c r="H421" s="95">
        <v>46184</v>
      </c>
      <c r="T421"/>
      <c r="U421"/>
      <c r="V421"/>
      <c r="W421"/>
      <c r="X421"/>
      <c r="Y421"/>
      <c r="Z421"/>
      <c r="AA421"/>
    </row>
    <row r="422" spans="1:27" s="49" customFormat="1" ht="21.75" thickBot="1" x14ac:dyDescent="0.4">
      <c r="A422" s="48"/>
      <c r="B422" s="48"/>
      <c r="D422" s="48"/>
      <c r="E422" s="48"/>
      <c r="H422" s="94"/>
      <c r="T422" s="76"/>
      <c r="U422" s="76"/>
      <c r="V422" s="76"/>
      <c r="W422" s="76"/>
      <c r="X422" s="76"/>
      <c r="Y422" s="76"/>
      <c r="Z422" s="76"/>
      <c r="AA422" s="76"/>
    </row>
    <row r="423" spans="1:27" s="47" customFormat="1" x14ac:dyDescent="0.35">
      <c r="A423" s="46" t="s">
        <v>688</v>
      </c>
      <c r="B423" s="46" t="s">
        <v>152</v>
      </c>
      <c r="C423" s="53">
        <v>5023</v>
      </c>
      <c r="D423" s="46" t="s">
        <v>88</v>
      </c>
      <c r="E423" s="46" t="s">
        <v>23</v>
      </c>
      <c r="F423" s="47" t="s">
        <v>376</v>
      </c>
      <c r="G423" s="47">
        <v>1</v>
      </c>
      <c r="H423" s="95">
        <v>46184</v>
      </c>
      <c r="J423" s="47">
        <v>1</v>
      </c>
      <c r="T423"/>
      <c r="U423"/>
      <c r="V423"/>
      <c r="W423"/>
      <c r="X423"/>
      <c r="Y423"/>
      <c r="Z423"/>
      <c r="AA423"/>
    </row>
    <row r="424" spans="1:27" s="17" customFormat="1" x14ac:dyDescent="0.35">
      <c r="A424" s="21"/>
      <c r="B424" s="21"/>
      <c r="D424" s="21" t="s">
        <v>87</v>
      </c>
      <c r="E424" s="21" t="s">
        <v>21</v>
      </c>
      <c r="G424" s="17">
        <v>1</v>
      </c>
      <c r="H424" s="93"/>
      <c r="J424" s="17">
        <v>1</v>
      </c>
      <c r="T424"/>
      <c r="U424"/>
      <c r="V424"/>
      <c r="W424"/>
      <c r="X424"/>
      <c r="Y424"/>
      <c r="Z424"/>
      <c r="AA424"/>
    </row>
    <row r="425" spans="1:27" s="17" customFormat="1" x14ac:dyDescent="0.35">
      <c r="A425" s="21"/>
      <c r="B425" s="21"/>
      <c r="D425" s="21" t="s">
        <v>75</v>
      </c>
      <c r="E425" s="21" t="s">
        <v>55</v>
      </c>
      <c r="G425" s="17">
        <v>1</v>
      </c>
      <c r="H425" s="93"/>
      <c r="J425" s="17">
        <v>1</v>
      </c>
      <c r="T425"/>
      <c r="U425"/>
      <c r="V425"/>
      <c r="W425"/>
      <c r="X425"/>
      <c r="Y425"/>
      <c r="Z425"/>
      <c r="AA425"/>
    </row>
    <row r="426" spans="1:27" s="49" customFormat="1" ht="21.75" thickBot="1" x14ac:dyDescent="0.4">
      <c r="A426" s="48"/>
      <c r="B426" s="48"/>
      <c r="D426" s="48"/>
      <c r="E426" s="48"/>
      <c r="H426" s="94"/>
      <c r="T426" s="76"/>
      <c r="U426" s="76"/>
      <c r="V426" s="76"/>
      <c r="W426" s="76"/>
      <c r="X426" s="76"/>
      <c r="Y426" s="76"/>
      <c r="Z426" s="76"/>
      <c r="AA426" s="76"/>
    </row>
    <row r="427" spans="1:27" s="47" customFormat="1" x14ac:dyDescent="0.35">
      <c r="A427" s="46" t="s">
        <v>238</v>
      </c>
      <c r="B427" s="46" t="s">
        <v>690</v>
      </c>
      <c r="C427" s="51">
        <v>5024</v>
      </c>
      <c r="D427" s="46" t="s">
        <v>393</v>
      </c>
      <c r="E427" s="46" t="s">
        <v>465</v>
      </c>
      <c r="F427" s="47" t="s">
        <v>303</v>
      </c>
      <c r="G427" s="47">
        <v>1</v>
      </c>
      <c r="H427" s="95">
        <v>46184</v>
      </c>
      <c r="T427"/>
      <c r="U427"/>
      <c r="V427"/>
      <c r="W427"/>
      <c r="X427"/>
      <c r="Y427"/>
      <c r="Z427"/>
      <c r="AA427"/>
    </row>
    <row r="428" spans="1:27" s="17" customFormat="1" x14ac:dyDescent="0.35">
      <c r="A428" s="21"/>
      <c r="B428" s="21"/>
      <c r="D428" s="21" t="s">
        <v>80</v>
      </c>
      <c r="E428" s="21" t="s">
        <v>394</v>
      </c>
      <c r="F428" s="107"/>
      <c r="G428" s="17">
        <v>1</v>
      </c>
      <c r="H428" s="93"/>
      <c r="I428" s="17">
        <v>1</v>
      </c>
      <c r="T428"/>
      <c r="U428"/>
      <c r="V428"/>
      <c r="W428"/>
      <c r="X428"/>
      <c r="Y428"/>
      <c r="Z428"/>
      <c r="AA428"/>
    </row>
    <row r="429" spans="1:27" s="17" customFormat="1" x14ac:dyDescent="0.35">
      <c r="A429" s="21"/>
      <c r="B429" s="21"/>
      <c r="D429" s="21" t="s">
        <v>77</v>
      </c>
      <c r="E429" s="21" t="s">
        <v>20</v>
      </c>
      <c r="F429" s="109" t="s">
        <v>773</v>
      </c>
      <c r="G429" s="17">
        <v>1</v>
      </c>
      <c r="H429" s="93"/>
      <c r="T429"/>
      <c r="U429"/>
      <c r="V429"/>
      <c r="W429"/>
      <c r="X429"/>
      <c r="Y429"/>
      <c r="Z429"/>
      <c r="AA429"/>
    </row>
    <row r="430" spans="1:27" s="17" customFormat="1" x14ac:dyDescent="0.35">
      <c r="A430" s="21"/>
      <c r="B430" s="21"/>
      <c r="D430" s="21" t="s">
        <v>399</v>
      </c>
      <c r="E430" s="21" t="s">
        <v>689</v>
      </c>
      <c r="G430" s="17">
        <v>1</v>
      </c>
      <c r="H430" s="93"/>
      <c r="T430"/>
      <c r="U430"/>
      <c r="V430"/>
      <c r="W430"/>
      <c r="X430"/>
      <c r="Y430"/>
      <c r="Z430"/>
      <c r="AA430"/>
    </row>
    <row r="431" spans="1:27" s="49" customFormat="1" ht="21.75" thickBot="1" x14ac:dyDescent="0.4">
      <c r="A431" s="48"/>
      <c r="B431" s="48"/>
      <c r="D431" s="48"/>
      <c r="E431" s="48"/>
      <c r="H431" s="94"/>
      <c r="T431" s="76"/>
      <c r="U431" s="76"/>
      <c r="V431" s="76"/>
      <c r="W431" s="76"/>
      <c r="X431" s="76"/>
      <c r="Y431" s="76"/>
      <c r="Z431" s="76"/>
      <c r="AA431" s="76"/>
    </row>
    <row r="432" spans="1:27" s="47" customFormat="1" x14ac:dyDescent="0.35">
      <c r="A432" s="46" t="s">
        <v>238</v>
      </c>
      <c r="B432" s="46" t="s">
        <v>690</v>
      </c>
      <c r="C432" s="47">
        <v>5025</v>
      </c>
      <c r="D432" s="46" t="s">
        <v>393</v>
      </c>
      <c r="E432" s="46" t="s">
        <v>465</v>
      </c>
      <c r="F432" s="47" t="s">
        <v>303</v>
      </c>
      <c r="G432" s="47">
        <v>1</v>
      </c>
      <c r="H432" s="95">
        <v>46184</v>
      </c>
      <c r="T432"/>
      <c r="U432"/>
      <c r="V432"/>
      <c r="W432"/>
      <c r="X432"/>
      <c r="Y432"/>
      <c r="Z432"/>
      <c r="AA432"/>
    </row>
    <row r="433" spans="1:27" s="17" customFormat="1" x14ac:dyDescent="0.35">
      <c r="A433" s="21"/>
      <c r="B433" s="21"/>
      <c r="D433" s="21" t="s">
        <v>77</v>
      </c>
      <c r="E433" s="21" t="s">
        <v>20</v>
      </c>
      <c r="G433" s="17">
        <v>1</v>
      </c>
      <c r="H433" s="93"/>
      <c r="T433"/>
      <c r="U433"/>
      <c r="V433"/>
      <c r="W433"/>
      <c r="X433"/>
      <c r="Y433"/>
      <c r="Z433"/>
      <c r="AA433"/>
    </row>
    <row r="434" spans="1:27" s="17" customFormat="1" x14ac:dyDescent="0.35">
      <c r="A434" s="21"/>
      <c r="B434" s="21"/>
      <c r="D434" s="21" t="s">
        <v>691</v>
      </c>
      <c r="E434" s="21" t="s">
        <v>692</v>
      </c>
      <c r="F434" s="109" t="s">
        <v>773</v>
      </c>
      <c r="G434" s="17">
        <v>2</v>
      </c>
      <c r="H434" s="93"/>
      <c r="T434"/>
      <c r="U434"/>
      <c r="V434"/>
      <c r="W434"/>
      <c r="X434"/>
      <c r="Y434"/>
      <c r="Z434"/>
      <c r="AA434"/>
    </row>
    <row r="435" spans="1:27" s="49" customFormat="1" ht="21.75" thickBot="1" x14ac:dyDescent="0.4">
      <c r="A435" s="48"/>
      <c r="B435" s="48"/>
      <c r="D435" s="48"/>
      <c r="E435" s="48"/>
      <c r="H435" s="94"/>
      <c r="T435" s="76"/>
      <c r="U435" s="76"/>
      <c r="V435" s="76"/>
      <c r="W435" s="76"/>
      <c r="X435" s="76"/>
      <c r="Y435" s="76"/>
      <c r="Z435" s="76"/>
      <c r="AA435" s="76"/>
    </row>
    <row r="436" spans="1:27" s="47" customFormat="1" x14ac:dyDescent="0.35">
      <c r="A436" s="46" t="s">
        <v>74</v>
      </c>
      <c r="B436" s="46" t="s">
        <v>226</v>
      </c>
      <c r="C436" s="53">
        <v>5026</v>
      </c>
      <c r="D436" s="46" t="s">
        <v>76</v>
      </c>
      <c r="E436" s="46" t="s">
        <v>150</v>
      </c>
      <c r="F436" s="47" t="s">
        <v>376</v>
      </c>
      <c r="G436" s="47">
        <v>1</v>
      </c>
      <c r="H436" s="95">
        <v>46188</v>
      </c>
      <c r="I436" s="47">
        <v>0.25</v>
      </c>
      <c r="J436" s="47">
        <v>0.25</v>
      </c>
      <c r="T436"/>
      <c r="U436"/>
      <c r="V436"/>
      <c r="W436"/>
      <c r="X436"/>
      <c r="Y436"/>
      <c r="Z436"/>
      <c r="AA436"/>
    </row>
    <row r="437" spans="1:27" s="17" customFormat="1" x14ac:dyDescent="0.35">
      <c r="A437" s="21"/>
      <c r="B437" s="21"/>
      <c r="D437" s="21" t="s">
        <v>106</v>
      </c>
      <c r="E437" s="21" t="s">
        <v>69</v>
      </c>
      <c r="G437" s="17">
        <v>1</v>
      </c>
      <c r="H437" s="93"/>
      <c r="I437" s="17">
        <v>0.5</v>
      </c>
      <c r="J437" s="17">
        <v>0.5</v>
      </c>
      <c r="T437"/>
      <c r="U437"/>
      <c r="V437"/>
      <c r="W437"/>
      <c r="X437"/>
      <c r="Y437"/>
      <c r="Z437"/>
      <c r="AA437"/>
    </row>
    <row r="438" spans="1:27" s="17" customFormat="1" x14ac:dyDescent="0.35">
      <c r="A438" s="21"/>
      <c r="B438" s="21"/>
      <c r="D438" s="21" t="s">
        <v>77</v>
      </c>
      <c r="E438" s="21" t="s">
        <v>20</v>
      </c>
      <c r="G438" s="17">
        <v>1</v>
      </c>
      <c r="H438" s="93"/>
      <c r="T438"/>
      <c r="U438"/>
      <c r="V438"/>
      <c r="W438"/>
      <c r="X438"/>
      <c r="Y438"/>
      <c r="Z438"/>
      <c r="AA438"/>
    </row>
    <row r="439" spans="1:27" s="17" customFormat="1" x14ac:dyDescent="0.35">
      <c r="A439" s="21"/>
      <c r="B439" s="21"/>
      <c r="D439" s="21" t="s">
        <v>93</v>
      </c>
      <c r="E439" s="21" t="s">
        <v>14</v>
      </c>
      <c r="G439" s="17">
        <v>1</v>
      </c>
      <c r="H439" s="93"/>
      <c r="I439" s="17">
        <v>0.5</v>
      </c>
      <c r="J439" s="17">
        <v>0.5</v>
      </c>
      <c r="T439"/>
      <c r="U439"/>
      <c r="V439"/>
      <c r="W439"/>
      <c r="X439"/>
      <c r="Y439"/>
      <c r="Z439"/>
      <c r="AA439"/>
    </row>
    <row r="440" spans="1:27" s="17" customFormat="1" x14ac:dyDescent="0.35">
      <c r="A440" s="21"/>
      <c r="B440" s="21"/>
      <c r="D440" s="21" t="s">
        <v>123</v>
      </c>
      <c r="E440" s="21" t="s">
        <v>25</v>
      </c>
      <c r="G440" s="17">
        <v>1</v>
      </c>
      <c r="H440" s="93"/>
      <c r="I440" s="17">
        <v>2</v>
      </c>
      <c r="J440" s="17">
        <v>0.5</v>
      </c>
      <c r="T440"/>
      <c r="U440"/>
      <c r="V440"/>
      <c r="W440"/>
      <c r="X440"/>
      <c r="Y440"/>
      <c r="Z440"/>
      <c r="AA440"/>
    </row>
    <row r="441" spans="1:27" s="17" customFormat="1" x14ac:dyDescent="0.35">
      <c r="A441" s="21"/>
      <c r="B441" s="21"/>
      <c r="D441" s="21" t="s">
        <v>87</v>
      </c>
      <c r="E441" s="21" t="s">
        <v>21</v>
      </c>
      <c r="G441" s="17">
        <v>1</v>
      </c>
      <c r="H441" s="93"/>
      <c r="I441" s="17">
        <v>2</v>
      </c>
      <c r="J441" s="17">
        <v>0.5</v>
      </c>
      <c r="T441"/>
      <c r="U441"/>
      <c r="V441"/>
      <c r="W441"/>
      <c r="X441"/>
      <c r="Y441"/>
      <c r="Z441"/>
      <c r="AA441"/>
    </row>
    <row r="442" spans="1:27" s="17" customFormat="1" x14ac:dyDescent="0.35">
      <c r="A442" s="21"/>
      <c r="B442" s="21"/>
      <c r="D442" s="21" t="s">
        <v>79</v>
      </c>
      <c r="E442" s="21" t="s">
        <v>73</v>
      </c>
      <c r="G442" s="17">
        <v>1</v>
      </c>
      <c r="H442" s="93"/>
      <c r="I442" s="17">
        <v>2</v>
      </c>
      <c r="J442" s="17">
        <v>0.5</v>
      </c>
      <c r="T442"/>
      <c r="U442"/>
      <c r="V442"/>
      <c r="W442"/>
      <c r="X442"/>
      <c r="Y442"/>
      <c r="Z442"/>
      <c r="AA442"/>
    </row>
    <row r="443" spans="1:27" s="17" customFormat="1" x14ac:dyDescent="0.35">
      <c r="A443" s="21"/>
      <c r="B443" s="21"/>
      <c r="D443" s="21" t="s">
        <v>75</v>
      </c>
      <c r="E443" s="21" t="s">
        <v>55</v>
      </c>
      <c r="G443" s="17">
        <v>1</v>
      </c>
      <c r="H443" s="93"/>
      <c r="I443" s="17">
        <v>2</v>
      </c>
      <c r="J443" s="17">
        <v>0.5</v>
      </c>
      <c r="T443"/>
      <c r="U443"/>
      <c r="V443"/>
      <c r="W443"/>
      <c r="X443"/>
      <c r="Y443"/>
      <c r="Z443"/>
      <c r="AA443"/>
    </row>
    <row r="444" spans="1:27" s="17" customFormat="1" x14ac:dyDescent="0.35">
      <c r="A444" s="21"/>
      <c r="B444" s="21"/>
      <c r="D444" s="21" t="s">
        <v>81</v>
      </c>
      <c r="E444" s="21" t="s">
        <v>15</v>
      </c>
      <c r="G444" s="17">
        <v>1</v>
      </c>
      <c r="H444" s="93"/>
      <c r="I444" s="17">
        <v>0.5</v>
      </c>
      <c r="J444" s="17">
        <v>0.5</v>
      </c>
      <c r="T444"/>
      <c r="U444"/>
      <c r="V444"/>
      <c r="W444"/>
      <c r="X444"/>
      <c r="Y444"/>
      <c r="Z444"/>
      <c r="AA444"/>
    </row>
    <row r="445" spans="1:27" s="17" customFormat="1" x14ac:dyDescent="0.35">
      <c r="A445" s="21"/>
      <c r="B445" s="21"/>
      <c r="D445" s="21" t="s">
        <v>96</v>
      </c>
      <c r="E445" s="21" t="s">
        <v>139</v>
      </c>
      <c r="G445" s="17">
        <v>24</v>
      </c>
      <c r="H445" s="93"/>
      <c r="T445"/>
      <c r="U445"/>
      <c r="V445"/>
      <c r="W445"/>
      <c r="X445"/>
      <c r="Y445"/>
      <c r="Z445"/>
      <c r="AA445"/>
    </row>
    <row r="446" spans="1:27" s="49" customFormat="1" ht="21.75" thickBot="1" x14ac:dyDescent="0.4">
      <c r="A446" s="48"/>
      <c r="B446" s="48"/>
      <c r="D446" s="48"/>
      <c r="E446" s="48"/>
      <c r="H446" s="94"/>
      <c r="T446" s="76"/>
      <c r="U446" s="76"/>
      <c r="V446" s="76"/>
      <c r="W446" s="76"/>
      <c r="X446" s="76"/>
      <c r="Y446" s="76"/>
      <c r="Z446" s="76"/>
      <c r="AA446" s="76"/>
    </row>
    <row r="447" spans="1:27" s="47" customFormat="1" x14ac:dyDescent="0.35">
      <c r="A447" s="46" t="s">
        <v>693</v>
      </c>
      <c r="B447" s="46" t="s">
        <v>220</v>
      </c>
      <c r="C447" s="51">
        <v>5027</v>
      </c>
      <c r="D447" s="46" t="s">
        <v>75</v>
      </c>
      <c r="E447" s="46" t="s">
        <v>55</v>
      </c>
      <c r="F447" s="47" t="s">
        <v>376</v>
      </c>
      <c r="G447" s="47">
        <v>1</v>
      </c>
      <c r="H447" s="95">
        <v>46188</v>
      </c>
      <c r="T447"/>
      <c r="U447"/>
      <c r="V447"/>
      <c r="W447"/>
      <c r="X447"/>
      <c r="Y447"/>
      <c r="Z447"/>
      <c r="AA447"/>
    </row>
    <row r="448" spans="1:27" s="49" customFormat="1" ht="21.75" thickBot="1" x14ac:dyDescent="0.4">
      <c r="A448" s="48"/>
      <c r="B448" s="48"/>
      <c r="D448" s="48"/>
      <c r="E448" s="48"/>
      <c r="H448" s="94"/>
      <c r="T448" s="76"/>
      <c r="U448" s="76"/>
      <c r="V448" s="76"/>
      <c r="W448" s="76"/>
      <c r="X448" s="76"/>
      <c r="Y448" s="76"/>
      <c r="Z448" s="76"/>
      <c r="AA448" s="76"/>
    </row>
    <row r="449" spans="1:27" s="47" customFormat="1" x14ac:dyDescent="0.35">
      <c r="A449" s="46" t="s">
        <v>446</v>
      </c>
      <c r="B449" s="46" t="s">
        <v>220</v>
      </c>
      <c r="C449" s="53">
        <v>5028</v>
      </c>
      <c r="D449" s="46" t="s">
        <v>76</v>
      </c>
      <c r="E449" s="46" t="s">
        <v>150</v>
      </c>
      <c r="F449" s="47" t="s">
        <v>696</v>
      </c>
      <c r="G449" s="47">
        <v>1</v>
      </c>
      <c r="H449" s="95">
        <v>46188</v>
      </c>
      <c r="I449" s="47">
        <v>0.5</v>
      </c>
      <c r="T449"/>
      <c r="U449"/>
      <c r="V449"/>
      <c r="W449"/>
      <c r="X449"/>
      <c r="Y449"/>
      <c r="Z449"/>
      <c r="AA449"/>
    </row>
    <row r="450" spans="1:27" s="17" customFormat="1" x14ac:dyDescent="0.35">
      <c r="A450" s="21"/>
      <c r="B450" s="21"/>
      <c r="D450" s="21" t="s">
        <v>141</v>
      </c>
      <c r="E450" s="21" t="s">
        <v>151</v>
      </c>
      <c r="G450" s="17">
        <v>1</v>
      </c>
      <c r="H450" s="93"/>
      <c r="I450" s="17">
        <v>1</v>
      </c>
      <c r="T450"/>
      <c r="U450"/>
      <c r="V450"/>
      <c r="W450"/>
      <c r="X450"/>
      <c r="Y450"/>
      <c r="Z450"/>
      <c r="AA450"/>
    </row>
    <row r="451" spans="1:27" s="17" customFormat="1" x14ac:dyDescent="0.35">
      <c r="A451" s="21"/>
      <c r="B451" s="21"/>
      <c r="D451" s="21" t="s">
        <v>694</v>
      </c>
      <c r="E451" s="21" t="s">
        <v>695</v>
      </c>
      <c r="G451" s="17">
        <v>1</v>
      </c>
      <c r="H451" s="93"/>
      <c r="I451" s="17">
        <v>2</v>
      </c>
      <c r="T451"/>
      <c r="U451"/>
      <c r="V451"/>
      <c r="W451"/>
      <c r="X451"/>
      <c r="Y451"/>
      <c r="Z451"/>
      <c r="AA451"/>
    </row>
    <row r="452" spans="1:27" s="17" customFormat="1" x14ac:dyDescent="0.35">
      <c r="A452" s="21"/>
      <c r="B452" s="21"/>
      <c r="D452" s="21" t="s">
        <v>87</v>
      </c>
      <c r="E452" s="21" t="s">
        <v>21</v>
      </c>
      <c r="G452" s="17">
        <v>1</v>
      </c>
      <c r="H452" s="93"/>
      <c r="I452" s="17">
        <v>2</v>
      </c>
      <c r="T452"/>
      <c r="U452"/>
      <c r="V452"/>
      <c r="W452"/>
      <c r="X452"/>
      <c r="Y452"/>
      <c r="Z452"/>
      <c r="AA452"/>
    </row>
    <row r="453" spans="1:27" s="49" customFormat="1" ht="21.75" thickBot="1" x14ac:dyDescent="0.4">
      <c r="A453" s="48"/>
      <c r="B453" s="48"/>
      <c r="D453" s="48"/>
      <c r="E453" s="48"/>
      <c r="H453" s="94"/>
      <c r="T453" s="76"/>
      <c r="U453" s="76"/>
      <c r="V453" s="76"/>
      <c r="W453" s="76"/>
      <c r="X453" s="76"/>
      <c r="Y453" s="76"/>
      <c r="Z453" s="76"/>
      <c r="AA453" s="76"/>
    </row>
    <row r="454" spans="1:27" s="47" customFormat="1" x14ac:dyDescent="0.35">
      <c r="A454" s="46" t="s">
        <v>136</v>
      </c>
      <c r="B454" s="46" t="s">
        <v>255</v>
      </c>
      <c r="C454" s="53">
        <v>5029</v>
      </c>
      <c r="D454" s="46" t="s">
        <v>93</v>
      </c>
      <c r="E454" s="46" t="s">
        <v>14</v>
      </c>
      <c r="F454" s="47" t="s">
        <v>514</v>
      </c>
      <c r="G454" s="47">
        <v>1</v>
      </c>
      <c r="H454" s="95">
        <v>46188</v>
      </c>
      <c r="I454" s="47">
        <v>1</v>
      </c>
      <c r="T454"/>
      <c r="U454"/>
      <c r="V454"/>
      <c r="W454"/>
      <c r="X454"/>
      <c r="Y454"/>
      <c r="Z454"/>
      <c r="AA454"/>
    </row>
    <row r="455" spans="1:27" s="49" customFormat="1" ht="21.75" thickBot="1" x14ac:dyDescent="0.4">
      <c r="A455" s="48"/>
      <c r="B455" s="48"/>
      <c r="D455" s="48"/>
      <c r="E455" s="48"/>
      <c r="H455" s="94"/>
      <c r="T455" s="76"/>
      <c r="U455" s="76"/>
      <c r="V455" s="76"/>
      <c r="W455" s="76"/>
      <c r="X455" s="76"/>
      <c r="Y455" s="76"/>
      <c r="Z455" s="76"/>
      <c r="AA455" s="76"/>
    </row>
    <row r="456" spans="1:27" s="47" customFormat="1" x14ac:dyDescent="0.35">
      <c r="A456" s="46" t="s">
        <v>11</v>
      </c>
      <c r="B456" s="46" t="s">
        <v>163</v>
      </c>
      <c r="C456" s="53">
        <v>5030</v>
      </c>
      <c r="D456" s="46" t="s">
        <v>697</v>
      </c>
      <c r="E456" s="46" t="s">
        <v>698</v>
      </c>
      <c r="F456" s="47" t="s">
        <v>699</v>
      </c>
      <c r="G456" s="47">
        <v>7</v>
      </c>
      <c r="H456" s="95">
        <v>46188</v>
      </c>
      <c r="T456"/>
      <c r="U456"/>
      <c r="V456"/>
      <c r="W456"/>
      <c r="X456"/>
      <c r="Y456"/>
      <c r="Z456"/>
      <c r="AA456"/>
    </row>
    <row r="457" spans="1:27" s="49" customFormat="1" ht="21.75" thickBot="1" x14ac:dyDescent="0.4">
      <c r="A457" s="48"/>
      <c r="B457" s="48"/>
      <c r="D457" s="48"/>
      <c r="E457" s="48"/>
      <c r="F457" s="49" t="s">
        <v>726</v>
      </c>
      <c r="H457" s="94"/>
      <c r="T457" s="76"/>
      <c r="U457" s="76"/>
      <c r="V457" s="76"/>
      <c r="W457" s="76"/>
      <c r="X457" s="76"/>
      <c r="Y457" s="76"/>
      <c r="Z457" s="76"/>
      <c r="AA457" s="76"/>
    </row>
    <row r="458" spans="1:27" s="47" customFormat="1" x14ac:dyDescent="0.35">
      <c r="A458" s="46" t="s">
        <v>74</v>
      </c>
      <c r="B458" s="46" t="s">
        <v>226</v>
      </c>
      <c r="C458" s="53">
        <v>5031</v>
      </c>
      <c r="D458" s="46" t="s">
        <v>76</v>
      </c>
      <c r="E458" s="46" t="s">
        <v>150</v>
      </c>
      <c r="F458" s="47" t="s">
        <v>28</v>
      </c>
      <c r="G458" s="47">
        <v>7</v>
      </c>
      <c r="H458" s="95">
        <v>46188</v>
      </c>
      <c r="I458" s="47">
        <v>1.66</v>
      </c>
      <c r="J458" s="47">
        <v>1.66</v>
      </c>
      <c r="L458" s="47">
        <v>1.66</v>
      </c>
      <c r="T458"/>
      <c r="U458"/>
      <c r="V458"/>
      <c r="W458"/>
      <c r="X458"/>
      <c r="Y458"/>
      <c r="Z458"/>
      <c r="AA458"/>
    </row>
    <row r="459" spans="1:27" s="17" customFormat="1" x14ac:dyDescent="0.35">
      <c r="A459" s="21"/>
      <c r="B459" s="21"/>
      <c r="D459" s="21" t="s">
        <v>80</v>
      </c>
      <c r="E459" s="21" t="s">
        <v>19</v>
      </c>
      <c r="G459" s="17">
        <v>7</v>
      </c>
      <c r="H459" s="93"/>
      <c r="I459" s="17">
        <v>2.33</v>
      </c>
      <c r="J459" s="17">
        <v>2.33</v>
      </c>
      <c r="L459" s="17">
        <v>2.33</v>
      </c>
      <c r="T459"/>
      <c r="U459"/>
      <c r="V459"/>
      <c r="W459"/>
      <c r="X459"/>
      <c r="Y459"/>
      <c r="Z459"/>
      <c r="AA459"/>
    </row>
    <row r="460" spans="1:27" s="17" customFormat="1" x14ac:dyDescent="0.35">
      <c r="A460" s="21"/>
      <c r="B460" s="21"/>
      <c r="D460" s="21" t="s">
        <v>77</v>
      </c>
      <c r="E460" s="21" t="s">
        <v>20</v>
      </c>
      <c r="G460" s="17">
        <v>7</v>
      </c>
      <c r="H460" s="93"/>
      <c r="T460"/>
      <c r="U460"/>
      <c r="V460"/>
      <c r="W460"/>
      <c r="X460"/>
      <c r="Y460"/>
      <c r="Z460"/>
      <c r="AA460"/>
    </row>
    <row r="461" spans="1:27" s="17" customFormat="1" x14ac:dyDescent="0.35">
      <c r="A461" s="21"/>
      <c r="B461" s="21"/>
      <c r="D461" s="21" t="s">
        <v>391</v>
      </c>
      <c r="E461" s="21" t="s">
        <v>700</v>
      </c>
      <c r="G461" s="17">
        <v>7</v>
      </c>
      <c r="H461" s="93"/>
      <c r="I461" s="17">
        <v>2.33</v>
      </c>
      <c r="J461" s="17">
        <v>2.33</v>
      </c>
      <c r="L461" s="17">
        <v>2.33</v>
      </c>
      <c r="T461"/>
      <c r="U461"/>
      <c r="V461"/>
      <c r="W461"/>
      <c r="X461"/>
      <c r="Y461"/>
      <c r="Z461"/>
      <c r="AA461"/>
    </row>
    <row r="462" spans="1:27" s="17" customFormat="1" x14ac:dyDescent="0.35">
      <c r="A462" s="21"/>
      <c r="B462" s="21"/>
      <c r="D462" s="21" t="s">
        <v>93</v>
      </c>
      <c r="E462" s="21" t="s">
        <v>14</v>
      </c>
      <c r="G462" s="17">
        <v>7</v>
      </c>
      <c r="H462" s="93"/>
      <c r="I462" s="17">
        <v>2.33</v>
      </c>
      <c r="J462" s="17">
        <v>2.33</v>
      </c>
      <c r="L462" s="17">
        <v>2.33</v>
      </c>
      <c r="T462"/>
      <c r="U462"/>
      <c r="V462"/>
      <c r="W462"/>
      <c r="X462"/>
      <c r="Y462"/>
      <c r="Z462"/>
      <c r="AA462"/>
    </row>
    <row r="463" spans="1:27" s="17" customFormat="1" x14ac:dyDescent="0.35">
      <c r="A463" s="21"/>
      <c r="B463" s="21"/>
      <c r="D463" s="21" t="s">
        <v>123</v>
      </c>
      <c r="E463" s="21" t="s">
        <v>25</v>
      </c>
      <c r="G463" s="17">
        <v>7</v>
      </c>
      <c r="H463" s="93"/>
      <c r="I463" s="17">
        <v>4.66</v>
      </c>
      <c r="J463" s="17">
        <v>2.33</v>
      </c>
      <c r="L463" s="17">
        <v>2.33</v>
      </c>
      <c r="T463"/>
      <c r="U463"/>
      <c r="V463"/>
      <c r="W463"/>
      <c r="X463"/>
      <c r="Y463"/>
      <c r="Z463"/>
      <c r="AA463"/>
    </row>
    <row r="464" spans="1:27" s="17" customFormat="1" x14ac:dyDescent="0.35">
      <c r="A464" s="21"/>
      <c r="B464" s="21"/>
      <c r="D464" s="21" t="s">
        <v>85</v>
      </c>
      <c r="E464" s="21" t="s">
        <v>22</v>
      </c>
      <c r="G464" s="17">
        <v>7</v>
      </c>
      <c r="H464" s="93"/>
      <c r="I464" s="17">
        <v>4.66</v>
      </c>
      <c r="J464" s="17">
        <v>2.33</v>
      </c>
      <c r="L464" s="17">
        <v>2.33</v>
      </c>
      <c r="T464"/>
      <c r="U464"/>
      <c r="V464"/>
      <c r="W464"/>
      <c r="X464"/>
      <c r="Y464"/>
      <c r="Z464"/>
      <c r="AA464"/>
    </row>
    <row r="465" spans="1:27" s="17" customFormat="1" x14ac:dyDescent="0.35">
      <c r="A465" s="21"/>
      <c r="B465" s="21"/>
      <c r="D465" s="21" t="s">
        <v>79</v>
      </c>
      <c r="E465" s="21" t="s">
        <v>73</v>
      </c>
      <c r="G465" s="17">
        <v>7</v>
      </c>
      <c r="H465" s="93"/>
      <c r="I465" s="17">
        <v>4.66</v>
      </c>
      <c r="J465" s="17">
        <v>2.33</v>
      </c>
      <c r="L465" s="17">
        <v>2.33</v>
      </c>
      <c r="T465"/>
      <c r="U465"/>
      <c r="V465"/>
      <c r="W465"/>
      <c r="X465"/>
      <c r="Y465"/>
      <c r="Z465"/>
      <c r="AA465"/>
    </row>
    <row r="466" spans="1:27" s="17" customFormat="1" x14ac:dyDescent="0.35">
      <c r="A466" s="21"/>
      <c r="B466" s="21"/>
      <c r="D466" s="21" t="s">
        <v>75</v>
      </c>
      <c r="E466" s="21" t="s">
        <v>55</v>
      </c>
      <c r="G466" s="17">
        <v>7</v>
      </c>
      <c r="H466" s="93"/>
      <c r="I466" s="17">
        <v>4.66</v>
      </c>
      <c r="J466" s="17">
        <v>2.33</v>
      </c>
      <c r="L466" s="17">
        <v>2.33</v>
      </c>
      <c r="T466"/>
      <c r="U466"/>
      <c r="V466"/>
      <c r="W466"/>
      <c r="X466"/>
      <c r="Y466"/>
      <c r="Z466"/>
      <c r="AA466"/>
    </row>
    <row r="467" spans="1:27" s="17" customFormat="1" x14ac:dyDescent="0.35">
      <c r="A467" s="21"/>
      <c r="B467" s="21"/>
      <c r="D467" s="21" t="s">
        <v>94</v>
      </c>
      <c r="E467" s="21" t="s">
        <v>18</v>
      </c>
      <c r="G467" s="17">
        <v>168</v>
      </c>
      <c r="H467" s="93"/>
      <c r="T467"/>
      <c r="U467"/>
      <c r="V467"/>
      <c r="W467"/>
      <c r="X467"/>
      <c r="Y467"/>
      <c r="Z467"/>
      <c r="AA467"/>
    </row>
    <row r="468" spans="1:27" s="17" customFormat="1" x14ac:dyDescent="0.35">
      <c r="A468" s="21"/>
      <c r="B468" s="21"/>
      <c r="D468" s="21" t="s">
        <v>322</v>
      </c>
      <c r="E468" s="21" t="s">
        <v>323</v>
      </c>
      <c r="G468" s="17">
        <v>7</v>
      </c>
      <c r="H468" s="93"/>
      <c r="T468"/>
      <c r="U468"/>
      <c r="V468"/>
      <c r="W468"/>
      <c r="X468"/>
      <c r="Y468"/>
      <c r="Z468"/>
      <c r="AA468"/>
    </row>
    <row r="469" spans="1:27" s="17" customFormat="1" x14ac:dyDescent="0.35">
      <c r="A469" s="21"/>
      <c r="B469" s="21"/>
      <c r="D469" s="21" t="s">
        <v>363</v>
      </c>
      <c r="E469" s="21" t="s">
        <v>364</v>
      </c>
      <c r="G469" s="17">
        <v>14</v>
      </c>
      <c r="H469" s="93"/>
      <c r="T469"/>
      <c r="U469"/>
      <c r="V469"/>
      <c r="W469"/>
      <c r="X469"/>
      <c r="Y469"/>
      <c r="Z469"/>
      <c r="AA469"/>
    </row>
    <row r="470" spans="1:27" s="17" customFormat="1" x14ac:dyDescent="0.35">
      <c r="A470" s="21"/>
      <c r="B470" s="21"/>
      <c r="D470" s="21" t="s">
        <v>701</v>
      </c>
      <c r="E470" s="21" t="s">
        <v>702</v>
      </c>
      <c r="G470" s="17">
        <v>7</v>
      </c>
      <c r="H470" s="93"/>
      <c r="T470"/>
      <c r="U470"/>
      <c r="V470"/>
      <c r="W470"/>
      <c r="X470"/>
      <c r="Y470"/>
      <c r="Z470"/>
      <c r="AA470"/>
    </row>
    <row r="471" spans="1:27" s="17" customFormat="1" x14ac:dyDescent="0.35">
      <c r="A471" s="21"/>
      <c r="B471" s="21"/>
      <c r="D471" s="21" t="s">
        <v>115</v>
      </c>
      <c r="E471" s="21" t="s">
        <v>121</v>
      </c>
      <c r="G471" s="17">
        <v>7</v>
      </c>
      <c r="H471" s="93"/>
      <c r="T471"/>
      <c r="U471"/>
      <c r="V471"/>
      <c r="W471"/>
      <c r="X471"/>
      <c r="Y471"/>
      <c r="Z471"/>
      <c r="AA471"/>
    </row>
    <row r="472" spans="1:27" s="17" customFormat="1" x14ac:dyDescent="0.35">
      <c r="A472" s="21"/>
      <c r="B472" s="21"/>
      <c r="D472" s="21" t="s">
        <v>113</v>
      </c>
      <c r="E472" s="21" t="s">
        <v>119</v>
      </c>
      <c r="G472" s="17">
        <v>7</v>
      </c>
      <c r="H472" s="93"/>
      <c r="T472"/>
      <c r="U472"/>
      <c r="V472"/>
      <c r="W472"/>
      <c r="X472"/>
      <c r="Y472"/>
      <c r="Z472"/>
      <c r="AA472"/>
    </row>
    <row r="473" spans="1:27" s="17" customFormat="1" x14ac:dyDescent="0.35">
      <c r="A473" s="21"/>
      <c r="B473" s="21"/>
      <c r="D473" s="21" t="s">
        <v>256</v>
      </c>
      <c r="E473" s="21" t="s">
        <v>257</v>
      </c>
      <c r="G473" s="17">
        <v>7</v>
      </c>
      <c r="H473" s="93"/>
      <c r="T473"/>
      <c r="U473"/>
      <c r="V473"/>
      <c r="W473"/>
      <c r="X473"/>
      <c r="Y473"/>
      <c r="Z473"/>
      <c r="AA473"/>
    </row>
    <row r="474" spans="1:27" s="17" customFormat="1" x14ac:dyDescent="0.35">
      <c r="A474" s="21"/>
      <c r="B474" s="21"/>
      <c r="D474" s="21" t="s">
        <v>324</v>
      </c>
      <c r="E474" s="21" t="s">
        <v>325</v>
      </c>
      <c r="G474" s="17">
        <v>7</v>
      </c>
      <c r="H474" s="93"/>
      <c r="T474"/>
      <c r="U474"/>
      <c r="V474"/>
      <c r="W474"/>
      <c r="X474"/>
      <c r="Y474"/>
      <c r="Z474"/>
      <c r="AA474"/>
    </row>
    <row r="475" spans="1:27" s="17" customFormat="1" x14ac:dyDescent="0.35">
      <c r="A475" s="21"/>
      <c r="B475" s="21"/>
      <c r="D475" s="21" t="s">
        <v>116</v>
      </c>
      <c r="E475" s="21" t="s">
        <v>122</v>
      </c>
      <c r="G475" s="17">
        <v>7</v>
      </c>
      <c r="H475" s="93"/>
      <c r="T475"/>
      <c r="U475"/>
      <c r="V475"/>
      <c r="W475"/>
      <c r="X475"/>
      <c r="Y475"/>
      <c r="Z475"/>
      <c r="AA475"/>
    </row>
    <row r="476" spans="1:27" s="49" customFormat="1" ht="21.75" thickBot="1" x14ac:dyDescent="0.4">
      <c r="A476" s="48"/>
      <c r="B476" s="48"/>
      <c r="D476" s="48"/>
      <c r="E476" s="48"/>
      <c r="H476" s="94"/>
      <c r="T476" s="76"/>
      <c r="U476" s="76"/>
      <c r="V476" s="76"/>
      <c r="W476" s="76"/>
      <c r="X476" s="76"/>
      <c r="Y476" s="76"/>
      <c r="Z476" s="76"/>
      <c r="AA476" s="76"/>
    </row>
    <row r="477" spans="1:27" s="47" customFormat="1" x14ac:dyDescent="0.35">
      <c r="A477" s="46" t="s">
        <v>703</v>
      </c>
      <c r="B477" s="46" t="s">
        <v>220</v>
      </c>
      <c r="C477" s="54">
        <v>5032</v>
      </c>
      <c r="D477" s="46"/>
      <c r="E477" s="46" t="s">
        <v>704</v>
      </c>
      <c r="F477" s="47" t="s">
        <v>705</v>
      </c>
      <c r="G477" s="47">
        <v>1</v>
      </c>
      <c r="H477" s="95">
        <v>46188</v>
      </c>
      <c r="T477"/>
      <c r="U477"/>
      <c r="V477"/>
      <c r="W477"/>
      <c r="X477"/>
      <c r="Y477"/>
      <c r="Z477"/>
      <c r="AA477"/>
    </row>
    <row r="478" spans="1:27" s="49" customFormat="1" ht="21.75" thickBot="1" x14ac:dyDescent="0.4">
      <c r="A478" s="48"/>
      <c r="B478" s="48"/>
      <c r="D478" s="48"/>
      <c r="E478" s="48"/>
      <c r="F478" s="106" t="s">
        <v>413</v>
      </c>
      <c r="H478" s="94"/>
      <c r="T478" s="76"/>
      <c r="U478" s="76"/>
      <c r="V478" s="76"/>
      <c r="W478" s="76"/>
      <c r="X478" s="76"/>
      <c r="Y478" s="76"/>
      <c r="Z478" s="76"/>
      <c r="AA478" s="76"/>
    </row>
    <row r="479" spans="1:27" s="47" customFormat="1" x14ac:dyDescent="0.35">
      <c r="A479" s="46" t="s">
        <v>74</v>
      </c>
      <c r="B479" s="46" t="s">
        <v>226</v>
      </c>
      <c r="C479" s="53">
        <v>5033</v>
      </c>
      <c r="D479" s="46" t="s">
        <v>706</v>
      </c>
      <c r="E479" s="46" t="s">
        <v>707</v>
      </c>
      <c r="F479" s="47" t="s">
        <v>712</v>
      </c>
      <c r="G479" s="47">
        <v>1</v>
      </c>
      <c r="H479" s="95">
        <v>46189</v>
      </c>
      <c r="L479" s="47">
        <v>0.5</v>
      </c>
      <c r="T479"/>
      <c r="U479"/>
      <c r="V479"/>
      <c r="W479"/>
      <c r="X479"/>
      <c r="Y479"/>
      <c r="Z479"/>
      <c r="AA479"/>
    </row>
    <row r="480" spans="1:27" s="17" customFormat="1" x14ac:dyDescent="0.35">
      <c r="A480" s="21"/>
      <c r="B480" s="21"/>
      <c r="D480" s="21" t="s">
        <v>708</v>
      </c>
      <c r="E480" s="21" t="s">
        <v>709</v>
      </c>
      <c r="G480" s="17">
        <v>1</v>
      </c>
      <c r="H480" s="93"/>
      <c r="L480" s="17">
        <v>1</v>
      </c>
      <c r="T480"/>
      <c r="U480"/>
      <c r="V480"/>
      <c r="W480"/>
      <c r="X480"/>
      <c r="Y480"/>
      <c r="Z480"/>
      <c r="AA480"/>
    </row>
    <row r="481" spans="1:27" s="17" customFormat="1" x14ac:dyDescent="0.35">
      <c r="A481" s="21"/>
      <c r="B481" s="21"/>
      <c r="D481" s="21" t="s">
        <v>710</v>
      </c>
      <c r="E481" s="21" t="s">
        <v>711</v>
      </c>
      <c r="G481" s="17">
        <v>1</v>
      </c>
      <c r="H481" s="93"/>
      <c r="T481"/>
      <c r="U481"/>
      <c r="V481"/>
      <c r="W481"/>
      <c r="X481"/>
      <c r="Y481"/>
      <c r="Z481"/>
      <c r="AA481"/>
    </row>
    <row r="482" spans="1:27" s="17" customFormat="1" x14ac:dyDescent="0.35">
      <c r="A482" s="21"/>
      <c r="B482" s="21"/>
      <c r="D482" s="21" t="s">
        <v>93</v>
      </c>
      <c r="E482" s="21" t="s">
        <v>14</v>
      </c>
      <c r="G482" s="17">
        <v>1</v>
      </c>
      <c r="H482" s="93"/>
      <c r="L482" s="17">
        <v>1</v>
      </c>
      <c r="T482"/>
      <c r="U482"/>
      <c r="V482"/>
      <c r="W482"/>
      <c r="X482"/>
      <c r="Y482"/>
      <c r="Z482"/>
      <c r="AA482"/>
    </row>
    <row r="483" spans="1:27" s="17" customFormat="1" x14ac:dyDescent="0.35">
      <c r="A483" s="21"/>
      <c r="B483" s="21"/>
      <c r="D483" s="21" t="s">
        <v>123</v>
      </c>
      <c r="E483" s="21" t="s">
        <v>25</v>
      </c>
      <c r="G483" s="17">
        <v>1</v>
      </c>
      <c r="H483" s="93"/>
      <c r="L483" s="17">
        <v>1</v>
      </c>
      <c r="T483"/>
      <c r="U483"/>
      <c r="V483"/>
      <c r="W483"/>
      <c r="X483"/>
      <c r="Y483"/>
      <c r="Z483"/>
      <c r="AA483"/>
    </row>
    <row r="484" spans="1:27" s="17" customFormat="1" x14ac:dyDescent="0.35">
      <c r="A484" s="21"/>
      <c r="B484" s="21"/>
      <c r="D484" s="21" t="s">
        <v>87</v>
      </c>
      <c r="E484" s="21" t="s">
        <v>21</v>
      </c>
      <c r="G484" s="17">
        <v>1</v>
      </c>
      <c r="H484" s="93"/>
      <c r="L484" s="17">
        <v>1</v>
      </c>
      <c r="T484"/>
      <c r="U484"/>
      <c r="V484"/>
      <c r="W484"/>
      <c r="X484"/>
      <c r="Y484"/>
      <c r="Z484"/>
      <c r="AA484"/>
    </row>
    <row r="485" spans="1:27" s="17" customFormat="1" x14ac:dyDescent="0.35">
      <c r="A485" s="21"/>
      <c r="B485" s="21"/>
      <c r="D485" s="21" t="s">
        <v>79</v>
      </c>
      <c r="E485" s="21" t="s">
        <v>73</v>
      </c>
      <c r="G485" s="17">
        <v>1</v>
      </c>
      <c r="H485" s="93"/>
      <c r="L485" s="17">
        <v>1</v>
      </c>
      <c r="T485"/>
      <c r="U485"/>
      <c r="V485"/>
      <c r="W485"/>
      <c r="X485"/>
      <c r="Y485"/>
      <c r="Z485"/>
      <c r="AA485"/>
    </row>
    <row r="486" spans="1:27" s="17" customFormat="1" x14ac:dyDescent="0.35">
      <c r="A486" s="21"/>
      <c r="B486" s="21"/>
      <c r="D486" s="21" t="s">
        <v>75</v>
      </c>
      <c r="E486" s="21" t="s">
        <v>55</v>
      </c>
      <c r="G486" s="17">
        <v>1</v>
      </c>
      <c r="H486" s="93"/>
      <c r="L486" s="17">
        <v>1</v>
      </c>
      <c r="T486"/>
      <c r="U486"/>
      <c r="V486"/>
      <c r="W486"/>
      <c r="X486"/>
      <c r="Y486"/>
      <c r="Z486"/>
      <c r="AA486"/>
    </row>
    <row r="487" spans="1:27" s="17" customFormat="1" x14ac:dyDescent="0.35">
      <c r="A487" s="21"/>
      <c r="B487" s="21"/>
      <c r="D487" s="21" t="s">
        <v>81</v>
      </c>
      <c r="E487" s="21" t="s">
        <v>15</v>
      </c>
      <c r="G487" s="17">
        <v>1</v>
      </c>
      <c r="H487" s="93"/>
      <c r="L487" s="17">
        <v>1</v>
      </c>
      <c r="T487"/>
      <c r="U487"/>
      <c r="V487"/>
      <c r="W487"/>
      <c r="X487"/>
      <c r="Y487"/>
      <c r="Z487"/>
      <c r="AA487"/>
    </row>
    <row r="488" spans="1:27" s="17" customFormat="1" x14ac:dyDescent="0.35">
      <c r="A488" s="21"/>
      <c r="B488" s="21"/>
      <c r="D488" s="21" t="s">
        <v>652</v>
      </c>
      <c r="E488" s="21" t="s">
        <v>653</v>
      </c>
      <c r="G488" s="17">
        <v>20</v>
      </c>
      <c r="H488" s="93"/>
      <c r="T488"/>
      <c r="U488"/>
      <c r="V488"/>
      <c r="W488"/>
      <c r="X488"/>
      <c r="Y488"/>
      <c r="Z488"/>
      <c r="AA488"/>
    </row>
    <row r="489" spans="1:27" s="49" customFormat="1" ht="21.75" thickBot="1" x14ac:dyDescent="0.4">
      <c r="A489" s="48"/>
      <c r="B489" s="48"/>
      <c r="D489" s="48"/>
      <c r="E489" s="48"/>
      <c r="H489" s="94"/>
      <c r="T489" s="76"/>
      <c r="U489" s="76"/>
      <c r="V489" s="76"/>
      <c r="W489" s="76"/>
      <c r="X489" s="76"/>
      <c r="Y489" s="76"/>
      <c r="Z489" s="76"/>
      <c r="AA489" s="76"/>
    </row>
    <row r="490" spans="1:27" s="47" customFormat="1" x14ac:dyDescent="0.35">
      <c r="A490" s="46" t="s">
        <v>136</v>
      </c>
      <c r="B490" s="46" t="s">
        <v>223</v>
      </c>
      <c r="C490" s="53">
        <v>5034</v>
      </c>
      <c r="D490" s="46" t="s">
        <v>76</v>
      </c>
      <c r="E490" s="46" t="s">
        <v>150</v>
      </c>
      <c r="F490" s="47" t="s">
        <v>440</v>
      </c>
      <c r="G490" s="47">
        <v>6</v>
      </c>
      <c r="H490" s="95">
        <v>46189</v>
      </c>
      <c r="L490" s="47">
        <v>1.5</v>
      </c>
      <c r="M490" s="47">
        <v>1.5</v>
      </c>
      <c r="T490"/>
      <c r="U490"/>
      <c r="V490"/>
      <c r="W490"/>
      <c r="X490"/>
      <c r="Y490"/>
      <c r="Z490"/>
      <c r="AA490"/>
    </row>
    <row r="491" spans="1:27" s="17" customFormat="1" x14ac:dyDescent="0.35">
      <c r="A491" s="21"/>
      <c r="B491" s="21"/>
      <c r="D491" s="21" t="s">
        <v>221</v>
      </c>
      <c r="E491" s="21" t="s">
        <v>222</v>
      </c>
      <c r="G491" s="17">
        <v>6</v>
      </c>
      <c r="H491" s="93"/>
      <c r="L491" s="17">
        <v>3</v>
      </c>
      <c r="M491" s="17">
        <v>3</v>
      </c>
      <c r="T491"/>
      <c r="U491"/>
      <c r="V491"/>
      <c r="W491"/>
      <c r="X491"/>
      <c r="Y491"/>
      <c r="Z491"/>
      <c r="AA491"/>
    </row>
    <row r="492" spans="1:27" s="17" customFormat="1" x14ac:dyDescent="0.35">
      <c r="A492" s="21"/>
      <c r="B492" s="21"/>
      <c r="D492" s="21" t="s">
        <v>77</v>
      </c>
      <c r="E492" s="21" t="s">
        <v>20</v>
      </c>
      <c r="G492" s="17">
        <v>6</v>
      </c>
      <c r="H492" s="93"/>
      <c r="T492"/>
      <c r="U492"/>
      <c r="V492"/>
      <c r="W492"/>
      <c r="X492"/>
      <c r="Y492"/>
      <c r="Z492"/>
      <c r="AA492"/>
    </row>
    <row r="493" spans="1:27" s="17" customFormat="1" x14ac:dyDescent="0.35">
      <c r="A493" s="21"/>
      <c r="B493" s="21"/>
      <c r="D493" s="21" t="s">
        <v>87</v>
      </c>
      <c r="E493" s="21" t="s">
        <v>21</v>
      </c>
      <c r="G493" s="17">
        <v>6</v>
      </c>
      <c r="H493" s="93"/>
      <c r="L493" s="17">
        <v>3</v>
      </c>
      <c r="M493" s="17">
        <v>3</v>
      </c>
      <c r="T493"/>
      <c r="U493"/>
      <c r="V493"/>
      <c r="W493"/>
      <c r="X493"/>
      <c r="Y493"/>
      <c r="Z493"/>
      <c r="AA493"/>
    </row>
    <row r="494" spans="1:27" s="49" customFormat="1" ht="21.75" thickBot="1" x14ac:dyDescent="0.4">
      <c r="A494" s="48"/>
      <c r="B494" s="48"/>
      <c r="D494" s="48"/>
      <c r="E494" s="48"/>
      <c r="H494" s="94"/>
      <c r="T494" s="76"/>
      <c r="U494" s="76"/>
      <c r="V494" s="76"/>
      <c r="W494" s="76"/>
      <c r="X494" s="76"/>
      <c r="Y494" s="76"/>
      <c r="Z494" s="76"/>
      <c r="AA494" s="76"/>
    </row>
    <row r="495" spans="1:27" s="47" customFormat="1" x14ac:dyDescent="0.35">
      <c r="A495" s="46" t="s">
        <v>713</v>
      </c>
      <c r="B495" s="46" t="s">
        <v>220</v>
      </c>
      <c r="C495" s="51">
        <v>5035</v>
      </c>
      <c r="D495" s="46" t="s">
        <v>706</v>
      </c>
      <c r="E495" s="46" t="s">
        <v>707</v>
      </c>
      <c r="F495" s="47" t="s">
        <v>720</v>
      </c>
      <c r="G495" s="47">
        <v>1</v>
      </c>
      <c r="H495" s="95">
        <v>46189</v>
      </c>
      <c r="T495"/>
      <c r="U495"/>
      <c r="V495"/>
      <c r="W495"/>
      <c r="X495"/>
      <c r="Y495"/>
      <c r="Z495"/>
      <c r="AA495"/>
    </row>
    <row r="496" spans="1:27" s="17" customFormat="1" x14ac:dyDescent="0.35">
      <c r="A496" s="21"/>
      <c r="B496" s="21"/>
      <c r="D496" s="21" t="s">
        <v>708</v>
      </c>
      <c r="E496" s="21" t="s">
        <v>709</v>
      </c>
      <c r="G496" s="17">
        <v>1</v>
      </c>
      <c r="H496" s="93"/>
      <c r="T496"/>
      <c r="U496"/>
      <c r="V496"/>
      <c r="W496"/>
      <c r="X496"/>
      <c r="Y496"/>
      <c r="Z496"/>
      <c r="AA496"/>
    </row>
    <row r="497" spans="1:27" s="17" customFormat="1" x14ac:dyDescent="0.35">
      <c r="A497" s="21"/>
      <c r="B497" s="21"/>
      <c r="D497" s="21" t="s">
        <v>710</v>
      </c>
      <c r="E497" s="21" t="s">
        <v>711</v>
      </c>
      <c r="G497" s="17">
        <v>1</v>
      </c>
      <c r="H497" s="93"/>
      <c r="T497"/>
      <c r="U497"/>
      <c r="V497"/>
      <c r="W497"/>
      <c r="X497"/>
      <c r="Y497"/>
      <c r="Z497"/>
      <c r="AA497"/>
    </row>
    <row r="498" spans="1:27" s="17" customFormat="1" x14ac:dyDescent="0.35">
      <c r="A498" s="21"/>
      <c r="B498" s="21"/>
      <c r="D498" s="21"/>
      <c r="E498" s="21" t="s">
        <v>714</v>
      </c>
      <c r="G498" s="17">
        <v>1</v>
      </c>
      <c r="H498" s="93"/>
      <c r="T498"/>
      <c r="U498"/>
      <c r="V498"/>
      <c r="W498"/>
      <c r="X498"/>
      <c r="Y498"/>
      <c r="Z498"/>
      <c r="AA498"/>
    </row>
    <row r="499" spans="1:27" s="17" customFormat="1" x14ac:dyDescent="0.35">
      <c r="A499" s="21"/>
      <c r="B499" s="21"/>
      <c r="D499" s="21" t="s">
        <v>519</v>
      </c>
      <c r="E499" s="21" t="s">
        <v>715</v>
      </c>
      <c r="G499" s="17">
        <v>1</v>
      </c>
      <c r="H499" s="93"/>
      <c r="T499"/>
      <c r="U499"/>
      <c r="V499"/>
      <c r="W499"/>
      <c r="X499"/>
      <c r="Y499"/>
      <c r="Z499"/>
      <c r="AA499"/>
    </row>
    <row r="500" spans="1:27" s="17" customFormat="1" x14ac:dyDescent="0.35">
      <c r="A500" s="21"/>
      <c r="B500" s="21"/>
      <c r="D500" s="21" t="s">
        <v>82</v>
      </c>
      <c r="E500" s="21" t="s">
        <v>26</v>
      </c>
      <c r="G500" s="17">
        <v>1</v>
      </c>
      <c r="H500" s="93"/>
      <c r="T500"/>
      <c r="U500"/>
      <c r="V500"/>
      <c r="W500"/>
      <c r="X500"/>
      <c r="Y500"/>
      <c r="Z500"/>
      <c r="AA500"/>
    </row>
    <row r="501" spans="1:27" s="17" customFormat="1" x14ac:dyDescent="0.35">
      <c r="A501" s="21"/>
      <c r="B501" s="21"/>
      <c r="D501" s="21" t="s">
        <v>92</v>
      </c>
      <c r="E501" s="21" t="s">
        <v>51</v>
      </c>
      <c r="G501" s="17">
        <v>1</v>
      </c>
      <c r="H501" s="93"/>
      <c r="T501"/>
      <c r="U501"/>
      <c r="V501"/>
      <c r="W501"/>
      <c r="X501"/>
      <c r="Y501"/>
      <c r="Z501"/>
      <c r="AA501"/>
    </row>
    <row r="502" spans="1:27" s="17" customFormat="1" x14ac:dyDescent="0.35">
      <c r="A502" s="21"/>
      <c r="B502" s="21"/>
      <c r="D502" s="21" t="s">
        <v>93</v>
      </c>
      <c r="E502" s="21" t="s">
        <v>14</v>
      </c>
      <c r="G502" s="17">
        <v>1</v>
      </c>
      <c r="H502" s="93"/>
      <c r="T502"/>
      <c r="U502"/>
      <c r="V502"/>
      <c r="W502"/>
      <c r="X502"/>
      <c r="Y502"/>
      <c r="Z502"/>
      <c r="AA502"/>
    </row>
    <row r="503" spans="1:27" s="17" customFormat="1" x14ac:dyDescent="0.35">
      <c r="A503" s="21"/>
      <c r="B503" s="21"/>
      <c r="D503" s="21" t="s">
        <v>75</v>
      </c>
      <c r="E503" s="21" t="s">
        <v>55</v>
      </c>
      <c r="G503" s="17">
        <v>1</v>
      </c>
      <c r="H503" s="93"/>
      <c r="T503"/>
      <c r="U503"/>
      <c r="V503"/>
      <c r="W503"/>
      <c r="X503"/>
      <c r="Y503"/>
      <c r="Z503"/>
      <c r="AA503"/>
    </row>
    <row r="504" spans="1:27" s="17" customFormat="1" x14ac:dyDescent="0.35">
      <c r="A504" s="21"/>
      <c r="B504" s="21"/>
      <c r="D504" s="21" t="s">
        <v>716</v>
      </c>
      <c r="E504" s="21" t="s">
        <v>717</v>
      </c>
      <c r="G504" s="17">
        <v>1</v>
      </c>
      <c r="H504" s="93"/>
      <c r="T504"/>
      <c r="U504"/>
      <c r="V504"/>
      <c r="W504"/>
      <c r="X504"/>
      <c r="Y504"/>
      <c r="Z504"/>
      <c r="AA504"/>
    </row>
    <row r="505" spans="1:27" s="17" customFormat="1" x14ac:dyDescent="0.35">
      <c r="A505" s="21"/>
      <c r="B505" s="21"/>
      <c r="D505" s="21" t="s">
        <v>81</v>
      </c>
      <c r="E505" s="21" t="s">
        <v>15</v>
      </c>
      <c r="G505" s="17">
        <v>1</v>
      </c>
      <c r="H505" s="93"/>
      <c r="T505"/>
      <c r="U505"/>
      <c r="V505"/>
      <c r="W505"/>
      <c r="X505"/>
      <c r="Y505"/>
      <c r="Z505"/>
      <c r="AA505"/>
    </row>
    <row r="506" spans="1:27" s="17" customFormat="1" x14ac:dyDescent="0.35">
      <c r="A506" s="21"/>
      <c r="B506" s="21"/>
      <c r="D506" s="21" t="s">
        <v>176</v>
      </c>
      <c r="E506" s="21" t="s">
        <v>177</v>
      </c>
      <c r="G506" s="17">
        <v>24</v>
      </c>
      <c r="H506" s="93"/>
      <c r="T506"/>
      <c r="U506"/>
      <c r="V506"/>
      <c r="W506"/>
      <c r="X506"/>
      <c r="Y506"/>
      <c r="Z506"/>
      <c r="AA506"/>
    </row>
    <row r="507" spans="1:27" s="17" customFormat="1" x14ac:dyDescent="0.35">
      <c r="A507" s="21"/>
      <c r="B507" s="21"/>
      <c r="D507" s="21" t="s">
        <v>212</v>
      </c>
      <c r="E507" s="21" t="s">
        <v>213</v>
      </c>
      <c r="G507" s="17">
        <v>1</v>
      </c>
      <c r="H507" s="93"/>
      <c r="T507"/>
      <c r="U507"/>
      <c r="V507"/>
      <c r="W507"/>
      <c r="X507"/>
      <c r="Y507"/>
      <c r="Z507"/>
      <c r="AA507"/>
    </row>
    <row r="508" spans="1:27" s="17" customFormat="1" x14ac:dyDescent="0.35">
      <c r="A508" s="21"/>
      <c r="B508" s="21"/>
      <c r="D508" s="21" t="s">
        <v>89</v>
      </c>
      <c r="E508" s="21" t="s">
        <v>90</v>
      </c>
      <c r="G508" s="17">
        <v>1</v>
      </c>
      <c r="H508" s="93"/>
      <c r="T508"/>
      <c r="U508"/>
      <c r="V508"/>
      <c r="W508"/>
      <c r="X508"/>
      <c r="Y508"/>
      <c r="Z508"/>
      <c r="AA508"/>
    </row>
    <row r="509" spans="1:27" s="17" customFormat="1" x14ac:dyDescent="0.35">
      <c r="A509" s="21"/>
      <c r="B509" s="21"/>
      <c r="D509" s="21" t="s">
        <v>112</v>
      </c>
      <c r="E509" s="21" t="s">
        <v>118</v>
      </c>
      <c r="G509" s="17">
        <v>1</v>
      </c>
      <c r="H509" s="93"/>
      <c r="T509"/>
      <c r="U509"/>
      <c r="V509"/>
      <c r="W509"/>
      <c r="X509"/>
      <c r="Y509"/>
      <c r="Z509"/>
      <c r="AA509"/>
    </row>
    <row r="510" spans="1:27" s="17" customFormat="1" x14ac:dyDescent="0.35">
      <c r="A510" s="21"/>
      <c r="B510" s="21"/>
      <c r="D510" s="21" t="s">
        <v>239</v>
      </c>
      <c r="E510" s="21" t="s">
        <v>240</v>
      </c>
      <c r="G510" s="17">
        <v>2</v>
      </c>
      <c r="H510" s="93"/>
      <c r="T510"/>
      <c r="U510"/>
      <c r="V510"/>
      <c r="W510"/>
      <c r="X510"/>
      <c r="Y510"/>
      <c r="Z510"/>
      <c r="AA510"/>
    </row>
    <row r="511" spans="1:27" s="17" customFormat="1" x14ac:dyDescent="0.35">
      <c r="A511" s="21"/>
      <c r="B511" s="21"/>
      <c r="D511" s="21" t="s">
        <v>114</v>
      </c>
      <c r="E511" s="21" t="s">
        <v>120</v>
      </c>
      <c r="G511" s="17">
        <v>1</v>
      </c>
      <c r="H511" s="93"/>
      <c r="T511"/>
      <c r="U511"/>
      <c r="V511"/>
      <c r="W511"/>
      <c r="X511"/>
      <c r="Y511"/>
      <c r="Z511"/>
      <c r="AA511"/>
    </row>
    <row r="512" spans="1:27" s="17" customFormat="1" x14ac:dyDescent="0.35">
      <c r="A512" s="21"/>
      <c r="B512" s="21"/>
      <c r="D512" s="21" t="s">
        <v>113</v>
      </c>
      <c r="E512" s="21" t="s">
        <v>119</v>
      </c>
      <c r="G512" s="17">
        <v>1</v>
      </c>
      <c r="H512" s="93"/>
      <c r="T512"/>
      <c r="U512"/>
      <c r="V512"/>
      <c r="W512"/>
      <c r="X512"/>
      <c r="Y512"/>
      <c r="Z512"/>
      <c r="AA512"/>
    </row>
    <row r="513" spans="1:27" s="17" customFormat="1" x14ac:dyDescent="0.35">
      <c r="A513" s="21"/>
      <c r="B513" s="21"/>
      <c r="D513" s="21" t="s">
        <v>256</v>
      </c>
      <c r="E513" s="21" t="s">
        <v>257</v>
      </c>
      <c r="G513" s="17">
        <v>1</v>
      </c>
      <c r="H513" s="93"/>
      <c r="T513"/>
      <c r="U513"/>
      <c r="V513"/>
      <c r="W513"/>
      <c r="X513"/>
      <c r="Y513"/>
      <c r="Z513"/>
      <c r="AA513"/>
    </row>
    <row r="514" spans="1:27" s="17" customFormat="1" x14ac:dyDescent="0.35">
      <c r="A514" s="21"/>
      <c r="B514" s="21"/>
      <c r="D514" s="21" t="s">
        <v>115</v>
      </c>
      <c r="E514" s="21" t="s">
        <v>121</v>
      </c>
      <c r="G514" s="17">
        <v>1</v>
      </c>
      <c r="H514" s="93"/>
      <c r="T514"/>
      <c r="U514"/>
      <c r="V514"/>
      <c r="W514"/>
      <c r="X514"/>
      <c r="Y514"/>
      <c r="Z514"/>
      <c r="AA514"/>
    </row>
    <row r="515" spans="1:27" s="17" customFormat="1" x14ac:dyDescent="0.35">
      <c r="A515" s="21"/>
      <c r="B515" s="21"/>
      <c r="D515" s="21" t="s">
        <v>524</v>
      </c>
      <c r="E515" s="21" t="s">
        <v>525</v>
      </c>
      <c r="G515" s="17">
        <v>1</v>
      </c>
      <c r="H515" s="93"/>
      <c r="T515"/>
      <c r="U515"/>
      <c r="V515"/>
      <c r="W515"/>
      <c r="X515"/>
      <c r="Y515"/>
      <c r="Z515"/>
      <c r="AA515"/>
    </row>
    <row r="516" spans="1:27" s="17" customFormat="1" x14ac:dyDescent="0.35">
      <c r="A516" s="21"/>
      <c r="B516" s="21"/>
      <c r="D516" s="21" t="s">
        <v>718</v>
      </c>
      <c r="E516" s="21" t="s">
        <v>719</v>
      </c>
      <c r="G516" s="17">
        <v>1</v>
      </c>
      <c r="H516" s="93"/>
      <c r="T516"/>
      <c r="U516"/>
      <c r="V516"/>
      <c r="W516"/>
      <c r="X516"/>
      <c r="Y516"/>
      <c r="Z516"/>
      <c r="AA516"/>
    </row>
    <row r="517" spans="1:27" s="17" customFormat="1" x14ac:dyDescent="0.35">
      <c r="A517" s="21"/>
      <c r="B517" s="21"/>
      <c r="D517" s="21" t="s">
        <v>210</v>
      </c>
      <c r="E517" s="21" t="s">
        <v>211</v>
      </c>
      <c r="G517" s="17">
        <v>1</v>
      </c>
      <c r="H517" s="93"/>
      <c r="T517"/>
      <c r="U517"/>
      <c r="V517"/>
      <c r="W517"/>
      <c r="X517"/>
      <c r="Y517"/>
      <c r="Z517"/>
      <c r="AA517"/>
    </row>
    <row r="518" spans="1:27" s="17" customFormat="1" x14ac:dyDescent="0.35">
      <c r="A518" s="21"/>
      <c r="B518" s="21"/>
      <c r="D518" s="21" t="s">
        <v>234</v>
      </c>
      <c r="E518" s="21" t="s">
        <v>235</v>
      </c>
      <c r="G518" s="17">
        <v>1</v>
      </c>
      <c r="H518" s="93"/>
      <c r="T518"/>
      <c r="U518"/>
      <c r="V518"/>
      <c r="W518"/>
      <c r="X518"/>
      <c r="Y518"/>
      <c r="Z518"/>
      <c r="AA518"/>
    </row>
    <row r="519" spans="1:27" s="49" customFormat="1" ht="21.75" thickBot="1" x14ac:dyDescent="0.4">
      <c r="A519" s="48"/>
      <c r="B519" s="48"/>
      <c r="D519" s="48"/>
      <c r="E519" s="48"/>
      <c r="H519" s="94"/>
      <c r="T519" s="76"/>
      <c r="U519" s="76"/>
      <c r="V519" s="76"/>
      <c r="W519" s="76"/>
      <c r="X519" s="76"/>
      <c r="Y519" s="76"/>
      <c r="Z519" s="76"/>
      <c r="AA519" s="76"/>
    </row>
    <row r="520" spans="1:27" s="47" customFormat="1" x14ac:dyDescent="0.35">
      <c r="A520" s="46" t="s">
        <v>74</v>
      </c>
      <c r="B520" s="46" t="s">
        <v>226</v>
      </c>
      <c r="C520" s="53">
        <v>5036</v>
      </c>
      <c r="D520" s="46" t="s">
        <v>76</v>
      </c>
      <c r="E520" s="46" t="s">
        <v>150</v>
      </c>
      <c r="F520" s="47" t="s">
        <v>28</v>
      </c>
      <c r="G520" s="47">
        <v>2</v>
      </c>
      <c r="H520" s="95">
        <v>46190</v>
      </c>
      <c r="I520" s="47">
        <v>0.25</v>
      </c>
      <c r="J520" s="47">
        <v>0.25</v>
      </c>
      <c r="T520"/>
      <c r="U520"/>
      <c r="V520"/>
      <c r="W520"/>
      <c r="X520"/>
      <c r="Y520"/>
      <c r="Z520"/>
      <c r="AA520"/>
    </row>
    <row r="521" spans="1:27" s="17" customFormat="1" x14ac:dyDescent="0.35">
      <c r="A521" s="21"/>
      <c r="B521" s="21"/>
      <c r="D521" s="21" t="s">
        <v>80</v>
      </c>
      <c r="E521" s="21" t="s">
        <v>19</v>
      </c>
      <c r="G521" s="17">
        <v>2</v>
      </c>
      <c r="H521" s="93"/>
      <c r="I521" s="17">
        <v>1</v>
      </c>
      <c r="J521" s="17">
        <v>1</v>
      </c>
      <c r="T521"/>
      <c r="U521"/>
      <c r="V521"/>
      <c r="W521"/>
      <c r="X521"/>
      <c r="Y521"/>
      <c r="Z521"/>
      <c r="AA521"/>
    </row>
    <row r="522" spans="1:27" s="17" customFormat="1" x14ac:dyDescent="0.35">
      <c r="A522" s="21"/>
      <c r="B522" s="21"/>
      <c r="D522" s="21" t="s">
        <v>77</v>
      </c>
      <c r="E522" s="21" t="s">
        <v>20</v>
      </c>
      <c r="G522" s="17">
        <v>2</v>
      </c>
      <c r="H522" s="93"/>
      <c r="T522"/>
      <c r="U522"/>
      <c r="V522"/>
      <c r="W522"/>
      <c r="X522"/>
      <c r="Y522"/>
      <c r="Z522"/>
      <c r="AA522"/>
    </row>
    <row r="523" spans="1:27" s="17" customFormat="1" x14ac:dyDescent="0.35">
      <c r="A523" s="21"/>
      <c r="B523" s="21"/>
      <c r="D523" s="21" t="s">
        <v>93</v>
      </c>
      <c r="E523" s="21" t="s">
        <v>14</v>
      </c>
      <c r="G523" s="17">
        <v>2</v>
      </c>
      <c r="H523" s="93"/>
      <c r="I523" s="17">
        <v>1</v>
      </c>
      <c r="J523" s="17">
        <v>1</v>
      </c>
      <c r="T523"/>
      <c r="U523"/>
      <c r="V523"/>
      <c r="W523"/>
      <c r="X523"/>
      <c r="Y523"/>
      <c r="Z523"/>
      <c r="AA523"/>
    </row>
    <row r="524" spans="1:27" s="17" customFormat="1" x14ac:dyDescent="0.35">
      <c r="A524" s="21"/>
      <c r="B524" s="21"/>
      <c r="D524" s="21" t="s">
        <v>123</v>
      </c>
      <c r="E524" s="21" t="s">
        <v>25</v>
      </c>
      <c r="G524" s="17">
        <v>2</v>
      </c>
      <c r="H524" s="93"/>
      <c r="I524" s="17">
        <v>2</v>
      </c>
      <c r="J524" s="17">
        <v>1</v>
      </c>
      <c r="T524"/>
      <c r="U524"/>
      <c r="V524"/>
      <c r="W524"/>
      <c r="X524"/>
      <c r="Y524"/>
      <c r="Z524"/>
      <c r="AA524"/>
    </row>
    <row r="525" spans="1:27" s="17" customFormat="1" x14ac:dyDescent="0.35">
      <c r="A525" s="21"/>
      <c r="B525" s="21"/>
      <c r="D525" s="21" t="s">
        <v>87</v>
      </c>
      <c r="E525" s="21" t="s">
        <v>21</v>
      </c>
      <c r="G525" s="17">
        <v>2</v>
      </c>
      <c r="H525" s="93"/>
      <c r="I525" s="17">
        <v>2</v>
      </c>
      <c r="J525" s="17">
        <v>1</v>
      </c>
      <c r="T525"/>
      <c r="U525"/>
      <c r="V525"/>
      <c r="W525"/>
      <c r="X525"/>
      <c r="Y525"/>
      <c r="Z525"/>
      <c r="AA525"/>
    </row>
    <row r="526" spans="1:27" s="17" customFormat="1" x14ac:dyDescent="0.35">
      <c r="A526" s="21"/>
      <c r="B526" s="21"/>
      <c r="D526" s="21" t="s">
        <v>79</v>
      </c>
      <c r="E526" s="21" t="s">
        <v>73</v>
      </c>
      <c r="G526" s="17">
        <v>2</v>
      </c>
      <c r="H526" s="93"/>
      <c r="I526" s="17">
        <v>2</v>
      </c>
      <c r="J526" s="17">
        <v>1</v>
      </c>
      <c r="T526"/>
      <c r="U526"/>
      <c r="V526"/>
      <c r="W526"/>
      <c r="X526"/>
      <c r="Y526"/>
      <c r="Z526"/>
      <c r="AA526"/>
    </row>
    <row r="527" spans="1:27" s="17" customFormat="1" x14ac:dyDescent="0.35">
      <c r="A527" s="21"/>
      <c r="B527" s="21"/>
      <c r="D527" s="21" t="s">
        <v>75</v>
      </c>
      <c r="E527" s="21" t="s">
        <v>55</v>
      </c>
      <c r="G527" s="17">
        <v>2</v>
      </c>
      <c r="H527" s="93"/>
      <c r="I527" s="17">
        <v>2</v>
      </c>
      <c r="J527" s="17">
        <v>1</v>
      </c>
      <c r="T527"/>
      <c r="U527"/>
      <c r="V527"/>
      <c r="W527"/>
      <c r="X527"/>
      <c r="Y527"/>
      <c r="Z527"/>
      <c r="AA527"/>
    </row>
    <row r="528" spans="1:27" s="17" customFormat="1" x14ac:dyDescent="0.35">
      <c r="A528" s="21"/>
      <c r="B528" s="21"/>
      <c r="D528" s="21" t="s">
        <v>81</v>
      </c>
      <c r="E528" s="21" t="s">
        <v>15</v>
      </c>
      <c r="G528" s="17">
        <v>2</v>
      </c>
      <c r="H528" s="93"/>
      <c r="I528" s="17">
        <v>1</v>
      </c>
      <c r="J528" s="17">
        <v>1</v>
      </c>
      <c r="T528"/>
      <c r="U528"/>
      <c r="V528"/>
      <c r="W528"/>
      <c r="X528"/>
      <c r="Y528"/>
      <c r="Z528"/>
      <c r="AA528"/>
    </row>
    <row r="529" spans="1:27" s="17" customFormat="1" x14ac:dyDescent="0.35">
      <c r="A529" s="21"/>
      <c r="B529" s="21"/>
      <c r="D529" s="21" t="s">
        <v>94</v>
      </c>
      <c r="E529" s="21" t="s">
        <v>18</v>
      </c>
      <c r="G529" s="17">
        <v>48</v>
      </c>
      <c r="H529" s="93"/>
      <c r="T529"/>
      <c r="U529"/>
      <c r="V529"/>
      <c r="W529"/>
      <c r="X529"/>
      <c r="Y529"/>
      <c r="Z529"/>
      <c r="AA529"/>
    </row>
    <row r="530" spans="1:27" s="49" customFormat="1" ht="21.75" thickBot="1" x14ac:dyDescent="0.4">
      <c r="A530" s="48"/>
      <c r="B530" s="48"/>
      <c r="D530" s="48"/>
      <c r="E530" s="48"/>
      <c r="H530" s="94"/>
      <c r="T530" s="76"/>
      <c r="U530" s="76"/>
      <c r="V530" s="76"/>
      <c r="W530" s="76"/>
      <c r="X530" s="76"/>
      <c r="Y530" s="76"/>
      <c r="Z530" s="76"/>
      <c r="AA530" s="76"/>
    </row>
    <row r="531" spans="1:27" s="47" customFormat="1" x14ac:dyDescent="0.35">
      <c r="A531" s="46" t="s">
        <v>136</v>
      </c>
      <c r="B531" s="46" t="s">
        <v>223</v>
      </c>
      <c r="C531" s="53">
        <v>5037</v>
      </c>
      <c r="D531" s="46" t="s">
        <v>721</v>
      </c>
      <c r="E531" s="46" t="s">
        <v>722</v>
      </c>
      <c r="F531" s="47" t="s">
        <v>723</v>
      </c>
      <c r="G531" s="47">
        <v>8</v>
      </c>
      <c r="H531" s="95">
        <v>46190</v>
      </c>
      <c r="L531" s="47">
        <v>40</v>
      </c>
      <c r="T531"/>
      <c r="U531"/>
      <c r="V531"/>
      <c r="W531"/>
      <c r="X531"/>
      <c r="Y531"/>
      <c r="Z531"/>
      <c r="AA531"/>
    </row>
    <row r="532" spans="1:27" s="49" customFormat="1" ht="21.75" thickBot="1" x14ac:dyDescent="0.4">
      <c r="A532" s="48"/>
      <c r="B532" s="48"/>
      <c r="D532" s="48"/>
      <c r="E532" s="48"/>
      <c r="H532" s="94"/>
      <c r="T532" s="76"/>
      <c r="U532" s="76"/>
      <c r="V532" s="76"/>
      <c r="W532" s="76"/>
      <c r="X532" s="76"/>
      <c r="Y532" s="76"/>
      <c r="Z532" s="76"/>
      <c r="AA532" s="76"/>
    </row>
    <row r="533" spans="1:27" s="47" customFormat="1" x14ac:dyDescent="0.35">
      <c r="A533" s="46" t="s">
        <v>74</v>
      </c>
      <c r="B533" s="46" t="s">
        <v>226</v>
      </c>
      <c r="C533" s="53">
        <v>5038</v>
      </c>
      <c r="D533" s="46" t="s">
        <v>76</v>
      </c>
      <c r="E533" s="46" t="s">
        <v>150</v>
      </c>
      <c r="F533" s="47" t="s">
        <v>28</v>
      </c>
      <c r="G533" s="47">
        <v>5</v>
      </c>
      <c r="H533" s="95">
        <v>46190</v>
      </c>
      <c r="J533" s="47">
        <v>0.83</v>
      </c>
      <c r="L533" s="47">
        <v>0.83</v>
      </c>
      <c r="M533" s="47">
        <v>0.83</v>
      </c>
      <c r="T533"/>
      <c r="U533"/>
      <c r="V533"/>
      <c r="W533"/>
      <c r="X533"/>
      <c r="Y533"/>
      <c r="Z533"/>
      <c r="AA533"/>
    </row>
    <row r="534" spans="1:27" s="17" customFormat="1" x14ac:dyDescent="0.35">
      <c r="A534" s="21"/>
      <c r="B534" s="21"/>
      <c r="D534" s="21" t="s">
        <v>80</v>
      </c>
      <c r="E534" s="21" t="s">
        <v>19</v>
      </c>
      <c r="G534" s="17">
        <v>5</v>
      </c>
      <c r="H534" s="93"/>
      <c r="J534" s="17">
        <v>1.66</v>
      </c>
      <c r="L534" s="17">
        <v>1.66</v>
      </c>
      <c r="M534" s="17">
        <v>1.66</v>
      </c>
      <c r="T534"/>
      <c r="U534"/>
      <c r="V534"/>
      <c r="W534"/>
      <c r="X534"/>
      <c r="Y534"/>
      <c r="Z534"/>
      <c r="AA534"/>
    </row>
    <row r="535" spans="1:27" s="17" customFormat="1" x14ac:dyDescent="0.35">
      <c r="A535" s="21"/>
      <c r="B535" s="21"/>
      <c r="D535" s="21" t="s">
        <v>77</v>
      </c>
      <c r="E535" s="21" t="s">
        <v>20</v>
      </c>
      <c r="G535" s="17">
        <v>5</v>
      </c>
      <c r="H535" s="93"/>
      <c r="T535"/>
      <c r="U535"/>
      <c r="V535"/>
      <c r="W535"/>
      <c r="X535"/>
      <c r="Y535"/>
      <c r="Z535"/>
      <c r="AA535"/>
    </row>
    <row r="536" spans="1:27" s="17" customFormat="1" x14ac:dyDescent="0.35">
      <c r="A536" s="21"/>
      <c r="B536" s="21"/>
      <c r="D536" s="21" t="s">
        <v>93</v>
      </c>
      <c r="E536" s="21" t="s">
        <v>14</v>
      </c>
      <c r="G536" s="17">
        <v>5</v>
      </c>
      <c r="H536" s="93"/>
      <c r="J536" s="17">
        <v>1.66</v>
      </c>
      <c r="L536" s="17">
        <v>1.66</v>
      </c>
      <c r="M536" s="17">
        <v>1.66</v>
      </c>
      <c r="T536"/>
      <c r="U536"/>
      <c r="V536"/>
      <c r="W536"/>
      <c r="X536"/>
      <c r="Y536"/>
      <c r="Z536"/>
      <c r="AA536"/>
    </row>
    <row r="537" spans="1:27" s="17" customFormat="1" x14ac:dyDescent="0.35">
      <c r="A537" s="21"/>
      <c r="B537" s="21"/>
      <c r="D537" s="21" t="s">
        <v>129</v>
      </c>
      <c r="E537" s="21" t="s">
        <v>130</v>
      </c>
      <c r="G537" s="17">
        <v>5</v>
      </c>
      <c r="H537" s="93"/>
      <c r="J537" s="17">
        <v>1.66</v>
      </c>
      <c r="L537" s="17">
        <v>1.66</v>
      </c>
      <c r="M537" s="17">
        <v>1.66</v>
      </c>
      <c r="T537"/>
      <c r="U537"/>
      <c r="V537"/>
      <c r="W537"/>
      <c r="X537"/>
      <c r="Y537"/>
      <c r="Z537"/>
      <c r="AA537"/>
    </row>
    <row r="538" spans="1:27" s="17" customFormat="1" x14ac:dyDescent="0.35">
      <c r="A538" s="21"/>
      <c r="B538" s="47"/>
      <c r="D538" s="21" t="s">
        <v>87</v>
      </c>
      <c r="E538" s="21" t="s">
        <v>21</v>
      </c>
      <c r="G538" s="17">
        <v>5</v>
      </c>
      <c r="H538" s="93"/>
      <c r="J538" s="17">
        <v>1.66</v>
      </c>
      <c r="L538" s="17">
        <v>1.66</v>
      </c>
      <c r="M538" s="17">
        <v>1.66</v>
      </c>
      <c r="T538"/>
      <c r="U538"/>
      <c r="V538"/>
      <c r="W538"/>
      <c r="X538"/>
      <c r="Y538"/>
      <c r="Z538"/>
      <c r="AA538"/>
    </row>
    <row r="539" spans="1:27" s="17" customFormat="1" x14ac:dyDescent="0.35">
      <c r="A539" s="21"/>
      <c r="B539" s="21"/>
      <c r="D539" s="21" t="s">
        <v>75</v>
      </c>
      <c r="E539" s="21" t="s">
        <v>55</v>
      </c>
      <c r="G539" s="17">
        <v>5</v>
      </c>
      <c r="H539" s="93"/>
      <c r="J539" s="17">
        <v>1.66</v>
      </c>
      <c r="L539" s="17">
        <v>1.66</v>
      </c>
      <c r="M539" s="17">
        <v>1.66</v>
      </c>
      <c r="T539"/>
      <c r="U539"/>
      <c r="V539"/>
      <c r="W539"/>
      <c r="X539"/>
      <c r="Y539"/>
      <c r="Z539"/>
      <c r="AA539"/>
    </row>
    <row r="540" spans="1:27" s="74" customFormat="1" x14ac:dyDescent="0.35">
      <c r="A540" s="84"/>
      <c r="B540" s="84"/>
      <c r="D540" s="84" t="s">
        <v>79</v>
      </c>
      <c r="E540" s="84" t="s">
        <v>73</v>
      </c>
      <c r="G540" s="74">
        <v>5</v>
      </c>
      <c r="H540" s="99"/>
      <c r="J540" s="74">
        <v>1.66</v>
      </c>
      <c r="L540" s="74">
        <v>1.66</v>
      </c>
      <c r="M540" s="74">
        <v>1.66</v>
      </c>
      <c r="T540"/>
      <c r="U540"/>
      <c r="V540"/>
      <c r="W540"/>
      <c r="X540"/>
      <c r="Y540"/>
      <c r="Z540"/>
      <c r="AA540"/>
    </row>
    <row r="541" spans="1:27" s="74" customFormat="1" x14ac:dyDescent="0.35">
      <c r="A541" s="84"/>
      <c r="B541" s="84"/>
      <c r="D541" s="84" t="s">
        <v>94</v>
      </c>
      <c r="E541" s="84" t="s">
        <v>18</v>
      </c>
      <c r="G541" s="74">
        <v>120</v>
      </c>
      <c r="H541" s="99"/>
      <c r="T541"/>
      <c r="U541"/>
      <c r="V541"/>
      <c r="W541"/>
      <c r="X541"/>
      <c r="Y541"/>
      <c r="Z541"/>
      <c r="AA541"/>
    </row>
    <row r="542" spans="1:27" s="49" customFormat="1" ht="21.75" thickBot="1" x14ac:dyDescent="0.4">
      <c r="A542" s="48"/>
      <c r="B542" s="48"/>
      <c r="D542" s="48"/>
      <c r="E542" s="48"/>
      <c r="H542" s="94"/>
      <c r="T542" s="76"/>
      <c r="U542" s="76"/>
      <c r="V542" s="76"/>
      <c r="W542" s="76"/>
      <c r="X542" s="76"/>
      <c r="Y542" s="76"/>
      <c r="Z542" s="76"/>
      <c r="AA542" s="76"/>
    </row>
    <row r="543" spans="1:27" s="47" customFormat="1" x14ac:dyDescent="0.35">
      <c r="A543" s="46" t="s">
        <v>318</v>
      </c>
      <c r="B543" s="46" t="s">
        <v>220</v>
      </c>
      <c r="C543" s="47">
        <v>5039</v>
      </c>
      <c r="D543" s="46" t="s">
        <v>724</v>
      </c>
      <c r="E543" s="46" t="s">
        <v>725</v>
      </c>
      <c r="F543" s="105" t="s">
        <v>726</v>
      </c>
      <c r="G543" s="47">
        <v>6</v>
      </c>
      <c r="H543" s="95">
        <v>46190</v>
      </c>
      <c r="T543"/>
      <c r="U543"/>
      <c r="V543"/>
      <c r="W543"/>
      <c r="X543"/>
      <c r="Y543"/>
      <c r="Z543"/>
      <c r="AA543"/>
    </row>
    <row r="544" spans="1:27" s="17" customFormat="1" x14ac:dyDescent="0.35">
      <c r="A544" s="21"/>
      <c r="B544" s="21"/>
      <c r="D544" s="21" t="s">
        <v>80</v>
      </c>
      <c r="E544" s="21" t="s">
        <v>19</v>
      </c>
      <c r="G544" s="17">
        <v>3</v>
      </c>
      <c r="H544" s="93"/>
      <c r="T544"/>
      <c r="U544"/>
      <c r="V544"/>
      <c r="W544"/>
      <c r="X544"/>
      <c r="Y544"/>
      <c r="Z544"/>
      <c r="AA544"/>
    </row>
    <row r="545" spans="1:27" s="17" customFormat="1" x14ac:dyDescent="0.35">
      <c r="A545" s="21"/>
      <c r="B545" s="21"/>
      <c r="D545" s="21" t="s">
        <v>106</v>
      </c>
      <c r="E545" s="21" t="s">
        <v>69</v>
      </c>
      <c r="G545" s="17">
        <v>3</v>
      </c>
      <c r="H545" s="93"/>
      <c r="T545"/>
      <c r="U545"/>
      <c r="V545"/>
      <c r="W545"/>
      <c r="X545"/>
      <c r="Y545"/>
      <c r="Z545"/>
      <c r="AA545"/>
    </row>
    <row r="546" spans="1:27" s="49" customFormat="1" ht="21.75" thickBot="1" x14ac:dyDescent="0.4">
      <c r="A546" s="48"/>
      <c r="B546" s="48"/>
      <c r="D546" s="48"/>
      <c r="E546" s="48"/>
      <c r="H546" s="94"/>
      <c r="T546" s="76"/>
      <c r="U546" s="76"/>
      <c r="V546" s="76"/>
      <c r="W546" s="76"/>
      <c r="X546" s="76"/>
      <c r="Y546" s="76"/>
      <c r="Z546" s="76"/>
      <c r="AA546" s="76"/>
    </row>
    <row r="547" spans="1:27" s="47" customFormat="1" x14ac:dyDescent="0.35">
      <c r="A547" s="46" t="s">
        <v>727</v>
      </c>
      <c r="B547" s="46" t="s">
        <v>220</v>
      </c>
      <c r="C547" s="51">
        <v>5040</v>
      </c>
      <c r="D547" s="46" t="s">
        <v>728</v>
      </c>
      <c r="E547" s="46" t="s">
        <v>729</v>
      </c>
      <c r="F547" s="47" t="s">
        <v>736</v>
      </c>
      <c r="G547" s="47">
        <v>1</v>
      </c>
      <c r="H547" s="95">
        <v>46190</v>
      </c>
      <c r="T547"/>
      <c r="U547"/>
      <c r="V547"/>
      <c r="W547"/>
      <c r="X547"/>
      <c r="Y547"/>
      <c r="Z547"/>
      <c r="AA547"/>
    </row>
    <row r="548" spans="1:27" s="17" customFormat="1" x14ac:dyDescent="0.35">
      <c r="A548" s="21"/>
      <c r="B548" s="21"/>
      <c r="D548" s="21" t="s">
        <v>730</v>
      </c>
      <c r="E548" s="21" t="s">
        <v>731</v>
      </c>
      <c r="G548" s="17">
        <v>1</v>
      </c>
      <c r="H548" s="93"/>
      <c r="T548"/>
      <c r="U548"/>
      <c r="V548"/>
      <c r="W548"/>
      <c r="X548"/>
      <c r="Y548"/>
      <c r="Z548"/>
      <c r="AA548"/>
    </row>
    <row r="549" spans="1:27" s="17" customFormat="1" x14ac:dyDescent="0.35">
      <c r="A549" s="21"/>
      <c r="B549" s="21"/>
      <c r="D549" s="21" t="s">
        <v>75</v>
      </c>
      <c r="E549" s="21" t="s">
        <v>55</v>
      </c>
      <c r="G549" s="17">
        <v>1</v>
      </c>
      <c r="H549" s="93"/>
      <c r="T549"/>
      <c r="U549"/>
      <c r="V549"/>
      <c r="W549"/>
      <c r="X549"/>
      <c r="Y549"/>
      <c r="Z549"/>
      <c r="AA549"/>
    </row>
    <row r="550" spans="1:27" s="17" customFormat="1" x14ac:dyDescent="0.35">
      <c r="A550" s="21"/>
      <c r="B550" s="21"/>
      <c r="D550" s="21" t="s">
        <v>732</v>
      </c>
      <c r="E550" s="21" t="s">
        <v>733</v>
      </c>
      <c r="G550" s="17">
        <v>1</v>
      </c>
      <c r="H550" s="93"/>
      <c r="T550"/>
      <c r="U550"/>
      <c r="V550"/>
      <c r="W550"/>
      <c r="X550"/>
      <c r="Y550"/>
      <c r="Z550"/>
      <c r="AA550"/>
    </row>
    <row r="551" spans="1:27" s="17" customFormat="1" x14ac:dyDescent="0.35">
      <c r="A551" s="21"/>
      <c r="B551" s="21"/>
      <c r="D551" s="21" t="s">
        <v>111</v>
      </c>
      <c r="E551" s="21" t="s">
        <v>117</v>
      </c>
      <c r="G551" s="17">
        <v>1</v>
      </c>
      <c r="H551" s="93"/>
      <c r="T551"/>
      <c r="U551"/>
      <c r="V551"/>
      <c r="W551"/>
      <c r="X551"/>
      <c r="Y551"/>
      <c r="Z551"/>
      <c r="AA551"/>
    </row>
    <row r="552" spans="1:27" s="17" customFormat="1" x14ac:dyDescent="0.35">
      <c r="A552" s="21"/>
      <c r="B552" s="21"/>
      <c r="D552" s="21" t="s">
        <v>734</v>
      </c>
      <c r="E552" s="21" t="s">
        <v>735</v>
      </c>
      <c r="G552" s="17">
        <v>4</v>
      </c>
      <c r="H552" s="93"/>
      <c r="T552"/>
      <c r="U552"/>
      <c r="V552"/>
      <c r="W552"/>
      <c r="X552"/>
      <c r="Y552"/>
      <c r="Z552"/>
      <c r="AA552"/>
    </row>
    <row r="553" spans="1:27" s="49" customFormat="1" ht="21.75" thickBot="1" x14ac:dyDescent="0.4">
      <c r="A553" s="48"/>
      <c r="B553" s="48"/>
      <c r="D553" s="48"/>
      <c r="E553" s="48"/>
      <c r="H553" s="94"/>
      <c r="T553" s="76"/>
      <c r="U553" s="76"/>
      <c r="V553" s="76"/>
      <c r="W553" s="76"/>
      <c r="X553" s="76"/>
      <c r="Y553" s="76"/>
      <c r="Z553" s="76"/>
      <c r="AA553" s="76"/>
    </row>
    <row r="554" spans="1:27" s="47" customFormat="1" x14ac:dyDescent="0.35">
      <c r="A554" s="46" t="s">
        <v>682</v>
      </c>
      <c r="B554" s="46" t="s">
        <v>739</v>
      </c>
      <c r="C554" s="53">
        <v>5041</v>
      </c>
      <c r="D554" s="46" t="s">
        <v>322</v>
      </c>
      <c r="E554" s="46" t="s">
        <v>323</v>
      </c>
      <c r="G554" s="47">
        <v>1</v>
      </c>
      <c r="H554" s="95">
        <v>46191</v>
      </c>
      <c r="T554"/>
      <c r="U554"/>
      <c r="V554"/>
      <c r="W554"/>
      <c r="X554"/>
      <c r="Y554"/>
      <c r="Z554"/>
      <c r="AA554"/>
    </row>
    <row r="555" spans="1:27" s="17" customFormat="1" x14ac:dyDescent="0.35">
      <c r="A555" s="21"/>
      <c r="B555" s="21"/>
      <c r="D555" s="21" t="s">
        <v>324</v>
      </c>
      <c r="E555" s="21" t="s">
        <v>325</v>
      </c>
      <c r="G555" s="17">
        <v>1</v>
      </c>
      <c r="H555" s="93"/>
      <c r="T555"/>
      <c r="U555"/>
      <c r="V555"/>
      <c r="W555"/>
      <c r="X555"/>
      <c r="Y555"/>
      <c r="Z555"/>
      <c r="AA555"/>
    </row>
    <row r="556" spans="1:27" s="17" customFormat="1" x14ac:dyDescent="0.35">
      <c r="A556" s="21"/>
      <c r="B556" s="21"/>
      <c r="D556" s="21" t="s">
        <v>256</v>
      </c>
      <c r="E556" s="21" t="s">
        <v>257</v>
      </c>
      <c r="F556" s="17" t="s">
        <v>742</v>
      </c>
      <c r="G556" s="17">
        <v>1</v>
      </c>
      <c r="H556" s="93"/>
      <c r="T556"/>
      <c r="U556"/>
      <c r="V556"/>
      <c r="W556"/>
      <c r="X556"/>
      <c r="Y556"/>
      <c r="Z556"/>
      <c r="AA556"/>
    </row>
    <row r="557" spans="1:27" s="17" customFormat="1" x14ac:dyDescent="0.35">
      <c r="A557" s="21"/>
      <c r="B557" s="21"/>
      <c r="D557" s="21" t="s">
        <v>524</v>
      </c>
      <c r="E557" s="21" t="s">
        <v>525</v>
      </c>
      <c r="F557" s="109" t="s">
        <v>772</v>
      </c>
      <c r="G557" s="17">
        <v>1</v>
      </c>
      <c r="H557" s="93"/>
      <c r="T557"/>
      <c r="U557"/>
      <c r="V557"/>
      <c r="W557"/>
      <c r="X557"/>
      <c r="Y557"/>
      <c r="Z557"/>
      <c r="AA557"/>
    </row>
    <row r="558" spans="1:27" s="17" customFormat="1" x14ac:dyDescent="0.35">
      <c r="A558" s="21"/>
      <c r="B558" s="21"/>
      <c r="D558" s="21" t="s">
        <v>740</v>
      </c>
      <c r="E558" s="21" t="s">
        <v>741</v>
      </c>
      <c r="G558" s="17">
        <v>1</v>
      </c>
      <c r="H558" s="93"/>
      <c r="T558"/>
      <c r="U558"/>
      <c r="V558"/>
      <c r="W558"/>
      <c r="X558"/>
      <c r="Y558"/>
      <c r="Z558"/>
      <c r="AA558"/>
    </row>
    <row r="559" spans="1:27" s="17" customFormat="1" x14ac:dyDescent="0.35">
      <c r="A559" s="21"/>
      <c r="B559" s="21"/>
      <c r="D559" s="21" t="s">
        <v>113</v>
      </c>
      <c r="E559" s="21" t="s">
        <v>119</v>
      </c>
      <c r="G559" s="17">
        <v>1</v>
      </c>
      <c r="H559" s="93"/>
      <c r="T559"/>
      <c r="U559"/>
      <c r="V559"/>
      <c r="W559"/>
      <c r="X559"/>
      <c r="Y559"/>
      <c r="Z559"/>
      <c r="AA559"/>
    </row>
    <row r="560" spans="1:27" s="49" customFormat="1" ht="21.75" thickBot="1" x14ac:dyDescent="0.4">
      <c r="A560" s="48"/>
      <c r="B560" s="48"/>
      <c r="D560" s="48"/>
      <c r="E560" s="48"/>
      <c r="G560" s="49">
        <v>1</v>
      </c>
      <c r="H560" s="94"/>
      <c r="T560" s="76"/>
      <c r="U560" s="76"/>
      <c r="V560" s="76"/>
      <c r="W560" s="76"/>
      <c r="X560" s="76"/>
      <c r="Y560" s="76"/>
      <c r="Z560" s="76"/>
      <c r="AA560" s="76"/>
    </row>
    <row r="561" spans="1:27" s="17" customFormat="1" x14ac:dyDescent="0.35">
      <c r="A561" s="21" t="s">
        <v>743</v>
      </c>
      <c r="B561" s="21" t="s">
        <v>296</v>
      </c>
      <c r="C561" s="16">
        <v>5042</v>
      </c>
      <c r="D561" s="21" t="s">
        <v>106</v>
      </c>
      <c r="E561" s="21" t="s">
        <v>69</v>
      </c>
      <c r="G561" s="17">
        <v>1</v>
      </c>
      <c r="H561" s="93">
        <v>46192</v>
      </c>
      <c r="T561"/>
      <c r="U561"/>
      <c r="V561"/>
      <c r="W561"/>
      <c r="X561"/>
      <c r="Y561"/>
      <c r="Z561"/>
      <c r="AA561"/>
    </row>
    <row r="562" spans="1:27" s="17" customFormat="1" x14ac:dyDescent="0.35">
      <c r="A562" s="21"/>
      <c r="B562" s="21"/>
      <c r="D562" s="21" t="s">
        <v>81</v>
      </c>
      <c r="E562" s="21" t="s">
        <v>15</v>
      </c>
      <c r="F562" s="17" t="s">
        <v>744</v>
      </c>
      <c r="G562" s="17">
        <v>3</v>
      </c>
      <c r="H562" s="93"/>
      <c r="T562"/>
      <c r="U562"/>
      <c r="V562"/>
      <c r="W562"/>
      <c r="X562"/>
      <c r="Y562"/>
      <c r="Z562"/>
      <c r="AA562"/>
    </row>
    <row r="563" spans="1:27" s="17" customFormat="1" x14ac:dyDescent="0.35">
      <c r="A563" s="21"/>
      <c r="B563" s="21"/>
      <c r="D563" s="21" t="s">
        <v>322</v>
      </c>
      <c r="E563" s="21" t="s">
        <v>323</v>
      </c>
      <c r="G563" s="17">
        <v>3</v>
      </c>
      <c r="H563" s="93"/>
      <c r="T563"/>
      <c r="U563"/>
      <c r="V563"/>
      <c r="W563"/>
      <c r="X563"/>
      <c r="Y563"/>
      <c r="Z563"/>
      <c r="AA563"/>
    </row>
    <row r="564" spans="1:27" s="17" customFormat="1" x14ac:dyDescent="0.35">
      <c r="A564" s="21"/>
      <c r="B564" s="21"/>
      <c r="D564" s="21" t="s">
        <v>157</v>
      </c>
      <c r="E564" s="21" t="s">
        <v>158</v>
      </c>
      <c r="G564" s="17">
        <v>1</v>
      </c>
      <c r="H564" s="93"/>
      <c r="T564"/>
      <c r="U564"/>
      <c r="V564"/>
      <c r="W564"/>
      <c r="X564"/>
      <c r="Y564"/>
      <c r="Z564"/>
      <c r="AA564"/>
    </row>
    <row r="565" spans="1:27" s="17" customFormat="1" x14ac:dyDescent="0.35">
      <c r="A565" s="21"/>
      <c r="B565" s="21"/>
      <c r="D565" s="21" t="s">
        <v>116</v>
      </c>
      <c r="E565" s="21" t="s">
        <v>122</v>
      </c>
      <c r="G565" s="17">
        <v>1</v>
      </c>
      <c r="H565" s="93"/>
      <c r="T565"/>
      <c r="U565"/>
      <c r="V565"/>
      <c r="W565"/>
      <c r="X565"/>
      <c r="Y565"/>
      <c r="Z565"/>
      <c r="AA565"/>
    </row>
    <row r="566" spans="1:27" s="17" customFormat="1" x14ac:dyDescent="0.35">
      <c r="A566" s="21"/>
      <c r="B566" s="21"/>
      <c r="D566" s="21" t="s">
        <v>95</v>
      </c>
      <c r="E566" s="21" t="s">
        <v>71</v>
      </c>
      <c r="G566" s="17">
        <v>2</v>
      </c>
      <c r="H566" s="93"/>
      <c r="T566"/>
      <c r="U566"/>
      <c r="V566"/>
      <c r="W566"/>
      <c r="X566"/>
      <c r="Y566"/>
      <c r="Z566"/>
      <c r="AA566"/>
    </row>
    <row r="567" spans="1:27" s="17" customFormat="1" x14ac:dyDescent="0.35">
      <c r="A567" s="21"/>
      <c r="B567" s="21"/>
      <c r="D567" s="21" t="s">
        <v>239</v>
      </c>
      <c r="E567" s="21" t="s">
        <v>240</v>
      </c>
      <c r="G567" s="17">
        <v>1</v>
      </c>
      <c r="H567" s="93"/>
      <c r="T567"/>
      <c r="U567"/>
      <c r="V567"/>
      <c r="W567"/>
      <c r="X567"/>
      <c r="Y567"/>
      <c r="Z567"/>
      <c r="AA567"/>
    </row>
    <row r="568" spans="1:27" s="17" customFormat="1" x14ac:dyDescent="0.35">
      <c r="A568" s="21"/>
      <c r="B568" s="21"/>
      <c r="D568" s="21" t="s">
        <v>114</v>
      </c>
      <c r="E568" s="21" t="s">
        <v>120</v>
      </c>
      <c r="G568" s="17">
        <v>1</v>
      </c>
      <c r="H568" s="93"/>
      <c r="T568"/>
      <c r="U568"/>
      <c r="V568"/>
      <c r="W568"/>
      <c r="X568"/>
      <c r="Y568"/>
      <c r="Z568"/>
      <c r="AA568"/>
    </row>
    <row r="569" spans="1:27" s="17" customFormat="1" x14ac:dyDescent="0.35">
      <c r="A569" s="21"/>
      <c r="B569" s="21"/>
      <c r="D569" s="21" t="s">
        <v>256</v>
      </c>
      <c r="E569" s="21" t="s">
        <v>257</v>
      </c>
      <c r="G569" s="17">
        <v>1</v>
      </c>
      <c r="H569" s="93"/>
      <c r="T569"/>
      <c r="U569"/>
      <c r="V569"/>
      <c r="W569"/>
      <c r="X569"/>
      <c r="Y569"/>
      <c r="Z569"/>
      <c r="AA569"/>
    </row>
    <row r="570" spans="1:27" s="17" customFormat="1" x14ac:dyDescent="0.35">
      <c r="A570" s="21"/>
      <c r="B570" s="21"/>
      <c r="D570" s="21" t="s">
        <v>115</v>
      </c>
      <c r="E570" s="21" t="s">
        <v>121</v>
      </c>
      <c r="G570" s="17">
        <v>1</v>
      </c>
      <c r="H570" s="93"/>
      <c r="T570"/>
      <c r="U570"/>
      <c r="V570"/>
      <c r="W570"/>
      <c r="X570"/>
      <c r="Y570"/>
      <c r="Z570"/>
      <c r="AA570"/>
    </row>
    <row r="571" spans="1:27" s="17" customFormat="1" x14ac:dyDescent="0.35">
      <c r="A571" s="21"/>
      <c r="B571" s="21"/>
      <c r="D571" s="21" t="s">
        <v>148</v>
      </c>
      <c r="E571" s="21" t="s">
        <v>149</v>
      </c>
      <c r="G571" s="17">
        <v>3</v>
      </c>
      <c r="H571" s="93"/>
      <c r="T571"/>
      <c r="U571"/>
      <c r="V571"/>
      <c r="W571"/>
      <c r="X571"/>
      <c r="Y571"/>
      <c r="Z571"/>
      <c r="AA571"/>
    </row>
    <row r="572" spans="1:27" s="17" customFormat="1" x14ac:dyDescent="0.35">
      <c r="A572" s="21"/>
      <c r="B572" s="21"/>
      <c r="D572" s="21" t="s">
        <v>109</v>
      </c>
      <c r="E572" s="21" t="s">
        <v>110</v>
      </c>
      <c r="G572" s="17">
        <v>1</v>
      </c>
      <c r="H572" s="93"/>
      <c r="T572"/>
      <c r="U572"/>
      <c r="V572"/>
      <c r="W572"/>
      <c r="X572"/>
      <c r="Y572"/>
      <c r="Z572"/>
      <c r="AA572"/>
    </row>
    <row r="573" spans="1:27" s="17" customFormat="1" x14ac:dyDescent="0.35">
      <c r="A573" s="21"/>
      <c r="B573" s="21"/>
      <c r="D573" s="21" t="s">
        <v>113</v>
      </c>
      <c r="E573" s="21" t="s">
        <v>119</v>
      </c>
      <c r="G573" s="17">
        <v>3</v>
      </c>
      <c r="H573" s="93"/>
      <c r="T573"/>
      <c r="U573"/>
      <c r="V573"/>
      <c r="W573"/>
      <c r="X573"/>
      <c r="Y573"/>
      <c r="Z573"/>
      <c r="AA573"/>
    </row>
    <row r="574" spans="1:27" s="17" customFormat="1" x14ac:dyDescent="0.35">
      <c r="A574" s="21"/>
      <c r="B574" s="21"/>
      <c r="D574" s="21" t="s">
        <v>244</v>
      </c>
      <c r="E574" s="21" t="s">
        <v>245</v>
      </c>
      <c r="G574" s="17">
        <v>1</v>
      </c>
      <c r="H574" s="93"/>
      <c r="T574"/>
      <c r="U574"/>
      <c r="V574"/>
      <c r="W574"/>
      <c r="X574"/>
      <c r="Y574"/>
      <c r="Z574"/>
      <c r="AA574"/>
    </row>
    <row r="575" spans="1:27" s="17" customFormat="1" x14ac:dyDescent="0.35">
      <c r="A575" s="21"/>
      <c r="B575" s="21"/>
      <c r="D575" s="21" t="s">
        <v>297</v>
      </c>
      <c r="E575" s="21" t="s">
        <v>298</v>
      </c>
      <c r="G575" s="17">
        <v>1</v>
      </c>
      <c r="H575" s="93"/>
      <c r="T575"/>
      <c r="U575"/>
      <c r="V575"/>
      <c r="W575"/>
      <c r="X575"/>
      <c r="Y575"/>
      <c r="Z575"/>
      <c r="AA575"/>
    </row>
    <row r="576" spans="1:27" s="49" customFormat="1" ht="21.75" thickBot="1" x14ac:dyDescent="0.4">
      <c r="A576" s="48"/>
      <c r="B576" s="48"/>
      <c r="D576" s="48" t="s">
        <v>292</v>
      </c>
      <c r="E576" s="48" t="s">
        <v>293</v>
      </c>
      <c r="H576" s="94"/>
      <c r="T576" s="76"/>
      <c r="U576" s="76"/>
      <c r="V576" s="76"/>
      <c r="W576" s="76"/>
      <c r="X576" s="76"/>
      <c r="Y576" s="76"/>
      <c r="Z576" s="76"/>
      <c r="AA576" s="76"/>
    </row>
    <row r="577" spans="1:27" s="17" customFormat="1" x14ac:dyDescent="0.35">
      <c r="A577" s="21" t="s">
        <v>743</v>
      </c>
      <c r="B577" s="21" t="s">
        <v>296</v>
      </c>
      <c r="C577" s="16">
        <v>5043</v>
      </c>
      <c r="D577" s="21" t="s">
        <v>106</v>
      </c>
      <c r="E577" s="21" t="s">
        <v>69</v>
      </c>
      <c r="G577" s="17">
        <v>1</v>
      </c>
      <c r="H577" s="93">
        <v>46192</v>
      </c>
      <c r="T577"/>
      <c r="U577"/>
      <c r="V577"/>
      <c r="W577"/>
      <c r="X577"/>
      <c r="Y577"/>
      <c r="Z577"/>
      <c r="AA577"/>
    </row>
    <row r="578" spans="1:27" s="17" customFormat="1" x14ac:dyDescent="0.35">
      <c r="A578" s="21"/>
      <c r="B578" s="21"/>
      <c r="D578" s="21" t="s">
        <v>85</v>
      </c>
      <c r="E578" s="21" t="s">
        <v>22</v>
      </c>
      <c r="G578" s="17">
        <v>1</v>
      </c>
      <c r="H578" s="93"/>
      <c r="T578"/>
      <c r="U578"/>
      <c r="V578"/>
      <c r="W578"/>
      <c r="X578"/>
      <c r="Y578"/>
      <c r="Z578"/>
      <c r="AA578"/>
    </row>
    <row r="579" spans="1:27" s="17" customFormat="1" x14ac:dyDescent="0.35">
      <c r="A579" s="21"/>
      <c r="B579" s="21"/>
      <c r="D579" s="21" t="s">
        <v>81</v>
      </c>
      <c r="E579" s="21" t="s">
        <v>15</v>
      </c>
      <c r="G579" s="17">
        <v>1</v>
      </c>
      <c r="H579" s="93"/>
      <c r="T579"/>
      <c r="U579"/>
      <c r="V579"/>
      <c r="W579"/>
      <c r="X579"/>
      <c r="Y579"/>
      <c r="Z579"/>
      <c r="AA579"/>
    </row>
    <row r="580" spans="1:27" s="17" customFormat="1" x14ac:dyDescent="0.35">
      <c r="A580" s="21"/>
      <c r="B580" s="21"/>
      <c r="D580" s="21" t="s">
        <v>297</v>
      </c>
      <c r="E580" s="21" t="s">
        <v>298</v>
      </c>
      <c r="G580" s="17">
        <v>1</v>
      </c>
      <c r="H580" s="93"/>
      <c r="T580"/>
      <c r="U580"/>
      <c r="V580"/>
      <c r="W580"/>
      <c r="X580"/>
      <c r="Y580"/>
      <c r="Z580"/>
      <c r="AA580"/>
    </row>
    <row r="581" spans="1:27" s="17" customFormat="1" x14ac:dyDescent="0.35">
      <c r="A581" s="21"/>
      <c r="B581" s="21"/>
      <c r="D581" s="21" t="s">
        <v>292</v>
      </c>
      <c r="E581" s="21" t="s">
        <v>293</v>
      </c>
      <c r="G581" s="17">
        <v>1</v>
      </c>
      <c r="H581" s="93"/>
      <c r="T581"/>
      <c r="U581"/>
      <c r="V581"/>
      <c r="W581"/>
      <c r="X581"/>
      <c r="Y581"/>
      <c r="Z581"/>
      <c r="AA581"/>
    </row>
    <row r="582" spans="1:27" s="49" customFormat="1" ht="21.75" thickBot="1" x14ac:dyDescent="0.4">
      <c r="A582" s="48"/>
      <c r="B582" s="48"/>
      <c r="D582" s="48"/>
      <c r="E582" s="48"/>
      <c r="H582" s="94"/>
      <c r="T582" s="76"/>
      <c r="U582" s="76"/>
      <c r="V582" s="76"/>
      <c r="W582" s="76"/>
      <c r="X582" s="76"/>
      <c r="Y582" s="76"/>
      <c r="Z582" s="76"/>
      <c r="AA582" s="76"/>
    </row>
    <row r="583" spans="1:27" s="17" customFormat="1" x14ac:dyDescent="0.35">
      <c r="A583" s="21" t="s">
        <v>29</v>
      </c>
      <c r="B583" s="21" t="s">
        <v>600</v>
      </c>
      <c r="C583" s="20">
        <v>5044</v>
      </c>
      <c r="D583" s="21" t="s">
        <v>76</v>
      </c>
      <c r="E583" s="21" t="s">
        <v>150</v>
      </c>
      <c r="G583" s="17">
        <v>2</v>
      </c>
      <c r="H583" s="93">
        <v>46192</v>
      </c>
      <c r="K583" s="17">
        <v>1</v>
      </c>
      <c r="N583" s="17">
        <v>1</v>
      </c>
      <c r="T583"/>
      <c r="U583"/>
      <c r="V583"/>
      <c r="W583"/>
      <c r="X583"/>
      <c r="Y583"/>
      <c r="Z583"/>
      <c r="AA583"/>
    </row>
    <row r="584" spans="1:27" s="17" customFormat="1" x14ac:dyDescent="0.35">
      <c r="A584" s="21"/>
      <c r="B584" s="21"/>
      <c r="D584" s="21" t="s">
        <v>132</v>
      </c>
      <c r="E584" s="21" t="s">
        <v>133</v>
      </c>
      <c r="F584" s="17" t="s">
        <v>745</v>
      </c>
      <c r="G584" s="17">
        <v>2</v>
      </c>
      <c r="H584" s="93"/>
      <c r="K584" s="17">
        <v>1</v>
      </c>
      <c r="N584" s="17">
        <v>1</v>
      </c>
      <c r="T584"/>
      <c r="U584"/>
      <c r="V584"/>
      <c r="W584"/>
      <c r="X584"/>
      <c r="Y584"/>
      <c r="Z584"/>
      <c r="AA584"/>
    </row>
    <row r="585" spans="1:27" s="17" customFormat="1" x14ac:dyDescent="0.35">
      <c r="A585" s="21"/>
      <c r="B585" s="21"/>
      <c r="D585" s="21" t="s">
        <v>77</v>
      </c>
      <c r="E585" s="21" t="s">
        <v>20</v>
      </c>
      <c r="G585" s="17">
        <v>2</v>
      </c>
      <c r="H585" s="93"/>
      <c r="T585"/>
      <c r="U585"/>
      <c r="V585"/>
      <c r="W585"/>
      <c r="X585"/>
      <c r="Y585"/>
      <c r="Z585"/>
      <c r="AA585"/>
    </row>
    <row r="586" spans="1:27" s="49" customFormat="1" ht="21.75" thickBot="1" x14ac:dyDescent="0.4">
      <c r="A586" s="48"/>
      <c r="B586" s="48"/>
      <c r="D586" s="48"/>
      <c r="E586" s="48"/>
      <c r="H586" s="94"/>
      <c r="J586" s="49">
        <v>0.83</v>
      </c>
      <c r="T586" s="76"/>
      <c r="U586" s="76"/>
      <c r="V586" s="76"/>
      <c r="W586" s="76"/>
      <c r="X586" s="76"/>
      <c r="Y586" s="76"/>
      <c r="Z586" s="76"/>
      <c r="AA586" s="76"/>
    </row>
    <row r="587" spans="1:27" s="17" customFormat="1" x14ac:dyDescent="0.35">
      <c r="A587" s="21" t="s">
        <v>52</v>
      </c>
      <c r="B587" s="21" t="s">
        <v>53</v>
      </c>
      <c r="C587" s="50">
        <v>5045</v>
      </c>
      <c r="D587" s="21" t="s">
        <v>76</v>
      </c>
      <c r="E587" s="21" t="s">
        <v>150</v>
      </c>
      <c r="G587" s="17">
        <v>1</v>
      </c>
      <c r="H587" s="93">
        <v>46192</v>
      </c>
      <c r="L587" s="17">
        <v>0.5</v>
      </c>
      <c r="T587"/>
      <c r="U587"/>
      <c r="V587"/>
      <c r="W587"/>
      <c r="X587"/>
      <c r="Y587"/>
      <c r="Z587"/>
      <c r="AA587"/>
    </row>
    <row r="588" spans="1:27" s="17" customFormat="1" x14ac:dyDescent="0.35">
      <c r="A588" s="21"/>
      <c r="B588" s="21"/>
      <c r="D588" s="21" t="s">
        <v>103</v>
      </c>
      <c r="E588" s="21" t="s">
        <v>70</v>
      </c>
      <c r="G588" s="17">
        <v>1</v>
      </c>
      <c r="H588" s="93"/>
      <c r="L588" s="17">
        <v>1</v>
      </c>
      <c r="T588"/>
      <c r="U588"/>
      <c r="V588"/>
      <c r="W588"/>
      <c r="X588"/>
      <c r="Y588"/>
      <c r="Z588"/>
      <c r="AA588"/>
    </row>
    <row r="589" spans="1:27" s="17" customFormat="1" x14ac:dyDescent="0.35">
      <c r="A589" s="21"/>
      <c r="B589" s="21"/>
      <c r="D589" s="21" t="s">
        <v>77</v>
      </c>
      <c r="E589" s="21" t="s">
        <v>746</v>
      </c>
      <c r="G589" s="17">
        <v>1</v>
      </c>
      <c r="H589" s="93"/>
      <c r="T589"/>
      <c r="U589"/>
      <c r="V589"/>
      <c r="W589"/>
      <c r="X589"/>
      <c r="Y589"/>
      <c r="Z589"/>
      <c r="AA589"/>
    </row>
    <row r="590" spans="1:27" s="17" customFormat="1" x14ac:dyDescent="0.35">
      <c r="A590" s="21"/>
      <c r="B590" s="21"/>
      <c r="D590" s="21" t="s">
        <v>78</v>
      </c>
      <c r="E590" s="21" t="s">
        <v>16</v>
      </c>
      <c r="G590" s="17">
        <v>1</v>
      </c>
      <c r="H590" s="93"/>
      <c r="T590"/>
      <c r="U590"/>
      <c r="V590"/>
      <c r="W590"/>
      <c r="X590"/>
      <c r="Y590"/>
      <c r="Z590"/>
      <c r="AA590"/>
    </row>
    <row r="591" spans="1:27" s="17" customFormat="1" x14ac:dyDescent="0.35">
      <c r="A591" s="21"/>
      <c r="B591" s="21"/>
      <c r="D591" s="21" t="s">
        <v>87</v>
      </c>
      <c r="E591" s="21" t="s">
        <v>21</v>
      </c>
      <c r="G591" s="17">
        <v>1</v>
      </c>
      <c r="H591" s="93"/>
      <c r="L591" s="17">
        <v>1</v>
      </c>
      <c r="T591"/>
      <c r="U591"/>
      <c r="V591"/>
      <c r="W591"/>
      <c r="X591"/>
      <c r="Y591"/>
      <c r="Z591"/>
      <c r="AA591"/>
    </row>
    <row r="592" spans="1:27" s="17" customFormat="1" x14ac:dyDescent="0.35">
      <c r="A592" s="21"/>
      <c r="B592" s="21"/>
      <c r="D592" s="21" t="s">
        <v>129</v>
      </c>
      <c r="E592" s="21" t="s">
        <v>130</v>
      </c>
      <c r="G592" s="17">
        <v>1</v>
      </c>
      <c r="H592" s="93"/>
      <c r="L592" s="17">
        <v>1</v>
      </c>
      <c r="T592"/>
      <c r="U592"/>
      <c r="V592"/>
      <c r="W592"/>
      <c r="X592"/>
      <c r="Y592"/>
      <c r="Z592"/>
      <c r="AA592"/>
    </row>
    <row r="593" spans="1:27" s="17" customFormat="1" x14ac:dyDescent="0.35">
      <c r="A593" s="21"/>
      <c r="B593" s="21"/>
      <c r="D593" s="21" t="s">
        <v>79</v>
      </c>
      <c r="E593" s="21" t="s">
        <v>73</v>
      </c>
      <c r="G593" s="17">
        <v>1</v>
      </c>
      <c r="H593" s="93"/>
      <c r="L593" s="17">
        <v>1</v>
      </c>
      <c r="T593"/>
      <c r="U593"/>
      <c r="V593"/>
      <c r="W593"/>
      <c r="X593"/>
      <c r="Y593"/>
      <c r="Z593"/>
      <c r="AA593"/>
    </row>
    <row r="594" spans="1:27" s="49" customFormat="1" ht="21.75" thickBot="1" x14ac:dyDescent="0.4">
      <c r="A594" s="48"/>
      <c r="B594" s="48"/>
      <c r="D594" s="48" t="s">
        <v>404</v>
      </c>
      <c r="E594" s="48" t="s">
        <v>405</v>
      </c>
      <c r="G594" s="49">
        <v>1</v>
      </c>
      <c r="H594" s="94"/>
      <c r="L594" s="49">
        <v>1</v>
      </c>
      <c r="T594" s="76"/>
      <c r="U594" s="76"/>
      <c r="V594" s="76"/>
      <c r="W594" s="76"/>
      <c r="X594" s="76"/>
      <c r="Y594" s="76"/>
      <c r="Z594" s="76"/>
      <c r="AA594" s="76"/>
    </row>
    <row r="595" spans="1:27" s="17" customFormat="1" x14ac:dyDescent="0.35">
      <c r="A595" s="21" t="s">
        <v>52</v>
      </c>
      <c r="B595" s="21" t="s">
        <v>53</v>
      </c>
      <c r="C595" s="20">
        <v>5046</v>
      </c>
      <c r="D595" s="21" t="s">
        <v>76</v>
      </c>
      <c r="E595" s="21" t="s">
        <v>150</v>
      </c>
      <c r="G595" s="17">
        <v>2</v>
      </c>
      <c r="H595" s="93">
        <v>46195</v>
      </c>
      <c r="L595" s="17">
        <v>0.5</v>
      </c>
      <c r="T595"/>
      <c r="U595"/>
      <c r="V595"/>
      <c r="W595"/>
      <c r="X595"/>
      <c r="Y595"/>
      <c r="Z595"/>
      <c r="AA595"/>
    </row>
    <row r="596" spans="1:27" s="17" customFormat="1" x14ac:dyDescent="0.35">
      <c r="A596" s="21"/>
      <c r="B596" s="21"/>
      <c r="D596" s="21"/>
      <c r="E596" s="21"/>
      <c r="F596" s="17" t="s">
        <v>426</v>
      </c>
      <c r="H596" s="93"/>
      <c r="T596"/>
      <c r="U596"/>
      <c r="V596"/>
      <c r="W596"/>
      <c r="X596"/>
      <c r="Y596"/>
      <c r="Z596"/>
      <c r="AA596"/>
    </row>
    <row r="597" spans="1:27" s="49" customFormat="1" ht="21.75" thickBot="1" x14ac:dyDescent="0.4">
      <c r="A597" s="48"/>
      <c r="B597" s="48"/>
      <c r="D597" s="48"/>
      <c r="E597" s="48"/>
      <c r="H597" s="94"/>
      <c r="T597" s="76"/>
      <c r="U597" s="76"/>
      <c r="V597" s="76"/>
      <c r="W597" s="76"/>
      <c r="X597" s="76"/>
      <c r="Y597" s="76"/>
      <c r="Z597" s="76"/>
      <c r="AA597" s="76"/>
    </row>
    <row r="598" spans="1:27" s="17" customFormat="1" x14ac:dyDescent="0.35">
      <c r="A598" s="21" t="s">
        <v>29</v>
      </c>
      <c r="B598" s="21" t="s">
        <v>600</v>
      </c>
      <c r="C598" s="16">
        <v>5047</v>
      </c>
      <c r="D598" s="21" t="s">
        <v>76</v>
      </c>
      <c r="E598" s="21" t="s">
        <v>150</v>
      </c>
      <c r="G598" s="17">
        <v>2</v>
      </c>
      <c r="H598" s="93">
        <v>46195</v>
      </c>
      <c r="T598"/>
      <c r="U598"/>
      <c r="V598"/>
      <c r="W598"/>
      <c r="X598"/>
      <c r="Y598"/>
      <c r="Z598"/>
      <c r="AA598"/>
    </row>
    <row r="599" spans="1:27" s="17" customFormat="1" x14ac:dyDescent="0.35">
      <c r="A599" s="21"/>
      <c r="B599" s="21"/>
      <c r="D599" s="21" t="s">
        <v>77</v>
      </c>
      <c r="E599" s="21" t="s">
        <v>20</v>
      </c>
      <c r="F599" s="17" t="s">
        <v>646</v>
      </c>
      <c r="G599" s="17">
        <v>2</v>
      </c>
      <c r="H599" s="93"/>
      <c r="T599"/>
      <c r="U599"/>
      <c r="V599"/>
      <c r="W599"/>
      <c r="X599"/>
      <c r="Y599"/>
      <c r="Z599"/>
      <c r="AA599"/>
    </row>
    <row r="600" spans="1:27" s="17" customFormat="1" x14ac:dyDescent="0.35">
      <c r="A600" s="21"/>
      <c r="B600" s="21"/>
      <c r="D600" s="21" t="s">
        <v>747</v>
      </c>
      <c r="E600" s="21" t="s">
        <v>748</v>
      </c>
      <c r="G600" s="17">
        <v>2</v>
      </c>
      <c r="H600" s="93"/>
      <c r="T600"/>
      <c r="U600"/>
      <c r="V600"/>
      <c r="W600"/>
      <c r="X600"/>
      <c r="Y600"/>
      <c r="Z600"/>
      <c r="AA600"/>
    </row>
    <row r="601" spans="1:27" s="49" customFormat="1" ht="21.75" thickBot="1" x14ac:dyDescent="0.4">
      <c r="A601" s="48"/>
      <c r="B601" s="48"/>
      <c r="D601" s="48"/>
      <c r="E601" s="48"/>
      <c r="H601" s="94"/>
      <c r="T601" s="76"/>
      <c r="U601" s="76"/>
      <c r="V601" s="76"/>
      <c r="W601" s="76"/>
      <c r="X601" s="76"/>
      <c r="Y601" s="76"/>
      <c r="Z601" s="76"/>
      <c r="AA601" s="76"/>
    </row>
    <row r="602" spans="1:27" s="17" customFormat="1" x14ac:dyDescent="0.35">
      <c r="A602" s="21" t="s">
        <v>749</v>
      </c>
      <c r="B602" s="21" t="s">
        <v>152</v>
      </c>
      <c r="C602" s="16">
        <v>5048</v>
      </c>
      <c r="D602" s="21" t="s">
        <v>76</v>
      </c>
      <c r="E602" s="21" t="s">
        <v>150</v>
      </c>
      <c r="G602" s="17">
        <v>1</v>
      </c>
      <c r="H602" s="93">
        <v>46195</v>
      </c>
      <c r="T602"/>
      <c r="U602"/>
      <c r="V602"/>
      <c r="W602"/>
      <c r="X602"/>
      <c r="Y602"/>
      <c r="Z602"/>
      <c r="AA602"/>
    </row>
    <row r="603" spans="1:27" s="17" customFormat="1" x14ac:dyDescent="0.35">
      <c r="A603" s="21"/>
      <c r="B603" s="21"/>
      <c r="D603" s="21" t="s">
        <v>141</v>
      </c>
      <c r="E603" s="21" t="s">
        <v>151</v>
      </c>
      <c r="G603" s="17">
        <v>1</v>
      </c>
      <c r="H603" s="93"/>
      <c r="T603"/>
      <c r="U603"/>
      <c r="V603"/>
      <c r="W603"/>
      <c r="X603"/>
      <c r="Y603"/>
      <c r="Z603"/>
      <c r="AA603"/>
    </row>
    <row r="604" spans="1:27" s="17" customFormat="1" x14ac:dyDescent="0.35">
      <c r="A604" s="21"/>
      <c r="B604" s="21"/>
      <c r="D604" s="21" t="s">
        <v>77</v>
      </c>
      <c r="E604" s="21" t="s">
        <v>20</v>
      </c>
      <c r="F604" s="17" t="s">
        <v>752</v>
      </c>
      <c r="G604" s="17">
        <v>1</v>
      </c>
      <c r="H604" s="93"/>
      <c r="T604"/>
      <c r="U604"/>
      <c r="V604"/>
      <c r="W604"/>
      <c r="X604"/>
      <c r="Y604"/>
      <c r="Z604"/>
      <c r="AA604"/>
    </row>
    <row r="605" spans="1:27" s="17" customFormat="1" x14ac:dyDescent="0.35">
      <c r="A605" s="21"/>
      <c r="B605" s="21"/>
      <c r="D605" s="21" t="s">
        <v>78</v>
      </c>
      <c r="E605" s="21" t="s">
        <v>16</v>
      </c>
      <c r="G605" s="17">
        <v>1</v>
      </c>
      <c r="H605" s="93"/>
      <c r="T605"/>
      <c r="U605"/>
      <c r="V605"/>
      <c r="W605"/>
      <c r="X605"/>
      <c r="Y605"/>
      <c r="Z605"/>
      <c r="AA605"/>
    </row>
    <row r="606" spans="1:27" s="17" customFormat="1" x14ac:dyDescent="0.35">
      <c r="A606" s="21"/>
      <c r="B606" s="21"/>
      <c r="D606" s="21" t="s">
        <v>83</v>
      </c>
      <c r="E606" s="21" t="s">
        <v>12</v>
      </c>
      <c r="G606" s="17">
        <v>1</v>
      </c>
      <c r="H606" s="93"/>
      <c r="T606"/>
      <c r="U606"/>
      <c r="V606"/>
      <c r="W606"/>
      <c r="X606"/>
      <c r="Y606"/>
      <c r="Z606"/>
      <c r="AA606"/>
    </row>
    <row r="607" spans="1:27" s="17" customFormat="1" x14ac:dyDescent="0.35">
      <c r="A607" s="21"/>
      <c r="B607" s="21"/>
      <c r="D607" s="21" t="s">
        <v>84</v>
      </c>
      <c r="E607" s="21" t="s">
        <v>13</v>
      </c>
      <c r="G607" s="17">
        <v>1</v>
      </c>
      <c r="H607" s="93"/>
      <c r="T607"/>
      <c r="U607"/>
      <c r="V607"/>
      <c r="W607"/>
      <c r="X607"/>
      <c r="Y607"/>
      <c r="Z607"/>
      <c r="AA607"/>
    </row>
    <row r="608" spans="1:27" s="17" customFormat="1" x14ac:dyDescent="0.35">
      <c r="A608" s="21"/>
      <c r="B608" s="21"/>
      <c r="D608" s="21" t="s">
        <v>374</v>
      </c>
      <c r="E608" s="21" t="s">
        <v>375</v>
      </c>
      <c r="G608" s="17">
        <v>1</v>
      </c>
      <c r="H608" s="93"/>
      <c r="T608"/>
      <c r="U608"/>
      <c r="V608"/>
      <c r="W608"/>
      <c r="X608"/>
      <c r="Y608"/>
      <c r="Z608"/>
      <c r="AA608"/>
    </row>
    <row r="609" spans="1:27" s="17" customFormat="1" x14ac:dyDescent="0.35">
      <c r="A609" s="21"/>
      <c r="B609" s="21"/>
      <c r="D609" s="21" t="s">
        <v>88</v>
      </c>
      <c r="E609" s="21" t="s">
        <v>23</v>
      </c>
      <c r="G609" s="17">
        <v>1</v>
      </c>
      <c r="H609" s="93"/>
      <c r="T609"/>
      <c r="U609"/>
      <c r="V609"/>
      <c r="W609"/>
      <c r="X609"/>
      <c r="Y609"/>
      <c r="Z609"/>
      <c r="AA609"/>
    </row>
    <row r="610" spans="1:27" s="17" customFormat="1" x14ac:dyDescent="0.35">
      <c r="A610" s="21"/>
      <c r="B610" s="21"/>
      <c r="D610" s="21" t="s">
        <v>87</v>
      </c>
      <c r="E610" s="21" t="s">
        <v>21</v>
      </c>
      <c r="G610" s="17">
        <v>1</v>
      </c>
      <c r="H610" s="93"/>
      <c r="T610"/>
      <c r="U610"/>
      <c r="V610"/>
      <c r="W610"/>
      <c r="X610"/>
      <c r="Y610"/>
      <c r="Z610"/>
      <c r="AA610"/>
    </row>
    <row r="611" spans="1:27" s="17" customFormat="1" x14ac:dyDescent="0.35">
      <c r="A611" s="21"/>
      <c r="B611" s="21"/>
      <c r="D611" s="21" t="s">
        <v>79</v>
      </c>
      <c r="E611" s="21" t="s">
        <v>73</v>
      </c>
      <c r="G611" s="17">
        <v>1</v>
      </c>
      <c r="H611" s="93"/>
      <c r="T611"/>
      <c r="U611"/>
      <c r="V611"/>
      <c r="W611"/>
      <c r="X611"/>
      <c r="Y611"/>
      <c r="Z611"/>
      <c r="AA611"/>
    </row>
    <row r="612" spans="1:27" s="17" customFormat="1" x14ac:dyDescent="0.35">
      <c r="A612" s="21"/>
      <c r="B612" s="21"/>
      <c r="D612" s="21" t="s">
        <v>75</v>
      </c>
      <c r="E612" s="21" t="s">
        <v>55</v>
      </c>
      <c r="G612" s="17">
        <v>1</v>
      </c>
      <c r="H612" s="93"/>
      <c r="T612"/>
      <c r="U612"/>
      <c r="V612"/>
      <c r="W612"/>
      <c r="X612"/>
      <c r="Y612"/>
      <c r="Z612"/>
      <c r="AA612"/>
    </row>
    <row r="613" spans="1:27" s="17" customFormat="1" x14ac:dyDescent="0.35">
      <c r="A613" s="21"/>
      <c r="B613" s="21"/>
      <c r="D613" s="21" t="s">
        <v>750</v>
      </c>
      <c r="E613" s="21" t="s">
        <v>751</v>
      </c>
      <c r="G613" s="17">
        <v>24</v>
      </c>
      <c r="H613" s="93"/>
      <c r="T613"/>
      <c r="U613"/>
      <c r="V613"/>
      <c r="W613"/>
      <c r="X613"/>
      <c r="Y613"/>
      <c r="Z613"/>
      <c r="AA613"/>
    </row>
    <row r="614" spans="1:27" s="17" customFormat="1" x14ac:dyDescent="0.35">
      <c r="A614" s="21"/>
      <c r="B614" s="21"/>
      <c r="D614" s="21" t="s">
        <v>262</v>
      </c>
      <c r="E614" s="21" t="s">
        <v>263</v>
      </c>
      <c r="G614" s="17">
        <v>1</v>
      </c>
      <c r="H614" s="93"/>
      <c r="T614"/>
      <c r="U614"/>
      <c r="V614"/>
      <c r="W614"/>
      <c r="X614"/>
      <c r="Y614"/>
      <c r="Z614"/>
      <c r="AA614"/>
    </row>
    <row r="615" spans="1:27" s="49" customFormat="1" ht="21.75" thickBot="1" x14ac:dyDescent="0.4">
      <c r="A615" s="48"/>
      <c r="B615" s="48"/>
      <c r="D615" s="48" t="s">
        <v>111</v>
      </c>
      <c r="E615" s="48" t="s">
        <v>117</v>
      </c>
      <c r="G615" s="49">
        <v>1</v>
      </c>
      <c r="H615" s="94"/>
      <c r="T615" s="76"/>
      <c r="U615" s="76"/>
      <c r="V615" s="76"/>
      <c r="W615" s="76"/>
      <c r="X615" s="76"/>
      <c r="Y615" s="76"/>
      <c r="Z615" s="76"/>
      <c r="AA615" s="76"/>
    </row>
    <row r="616" spans="1:27" s="17" customFormat="1" x14ac:dyDescent="0.35">
      <c r="A616" s="21" t="s">
        <v>753</v>
      </c>
      <c r="B616" s="21"/>
      <c r="C616" s="16">
        <v>5049</v>
      </c>
      <c r="D616" s="21"/>
      <c r="E616" s="21" t="s">
        <v>754</v>
      </c>
      <c r="G616" s="17">
        <v>1</v>
      </c>
      <c r="H616" s="93">
        <v>46195</v>
      </c>
      <c r="T616"/>
      <c r="U616"/>
      <c r="V616"/>
      <c r="W616"/>
      <c r="X616"/>
      <c r="Y616"/>
      <c r="Z616"/>
      <c r="AA616"/>
    </row>
    <row r="617" spans="1:27" s="17" customFormat="1" x14ac:dyDescent="0.35">
      <c r="A617" s="21"/>
      <c r="B617" s="21"/>
      <c r="D617" s="21"/>
      <c r="E617" s="21" t="s">
        <v>755</v>
      </c>
      <c r="F617" s="17" t="s">
        <v>757</v>
      </c>
      <c r="G617" s="17">
        <v>1</v>
      </c>
      <c r="H617" s="93"/>
      <c r="T617"/>
      <c r="U617"/>
      <c r="V617"/>
      <c r="W617"/>
      <c r="X617"/>
      <c r="Y617"/>
      <c r="Z617"/>
      <c r="AA617"/>
    </row>
    <row r="618" spans="1:27" s="17" customFormat="1" x14ac:dyDescent="0.35">
      <c r="A618" s="21"/>
      <c r="B618" s="21"/>
      <c r="D618" s="21"/>
      <c r="E618" s="21" t="s">
        <v>756</v>
      </c>
      <c r="G618" s="17">
        <v>1</v>
      </c>
      <c r="H618" s="93"/>
      <c r="T618"/>
      <c r="U618"/>
      <c r="V618"/>
      <c r="W618"/>
      <c r="X618"/>
      <c r="Y618"/>
      <c r="Z618"/>
      <c r="AA618"/>
    </row>
    <row r="619" spans="1:27" s="17" customFormat="1" x14ac:dyDescent="0.35">
      <c r="A619" s="21"/>
      <c r="B619" s="21"/>
      <c r="D619" s="21" t="s">
        <v>83</v>
      </c>
      <c r="E619" s="21" t="s">
        <v>12</v>
      </c>
      <c r="G619" s="17">
        <v>1</v>
      </c>
      <c r="H619" s="93"/>
      <c r="T619"/>
      <c r="U619"/>
      <c r="V619"/>
      <c r="W619"/>
      <c r="X619"/>
      <c r="Y619"/>
      <c r="Z619"/>
      <c r="AA619"/>
    </row>
    <row r="620" spans="1:27" s="17" customFormat="1" x14ac:dyDescent="0.35">
      <c r="A620" s="21"/>
      <c r="B620" s="21"/>
      <c r="D620" s="21" t="s">
        <v>84</v>
      </c>
      <c r="E620" s="21" t="s">
        <v>13</v>
      </c>
      <c r="G620" s="17">
        <v>1</v>
      </c>
      <c r="H620" s="93"/>
      <c r="T620"/>
      <c r="U620"/>
      <c r="V620"/>
      <c r="W620"/>
      <c r="X620"/>
      <c r="Y620"/>
      <c r="Z620"/>
      <c r="AA620"/>
    </row>
    <row r="621" spans="1:27" s="17" customFormat="1" x14ac:dyDescent="0.35">
      <c r="A621" s="21"/>
      <c r="B621" s="21"/>
      <c r="D621" s="21" t="s">
        <v>93</v>
      </c>
      <c r="E621" s="21" t="s">
        <v>14</v>
      </c>
      <c r="G621" s="17">
        <v>1</v>
      </c>
      <c r="H621" s="93"/>
      <c r="T621"/>
      <c r="U621"/>
      <c r="V621"/>
      <c r="W621"/>
      <c r="X621"/>
      <c r="Y621"/>
      <c r="Z621"/>
      <c r="AA621"/>
    </row>
    <row r="622" spans="1:27" s="17" customFormat="1" x14ac:dyDescent="0.35">
      <c r="A622" s="21"/>
      <c r="B622" s="21"/>
      <c r="D622" s="21" t="s">
        <v>123</v>
      </c>
      <c r="E622" s="21" t="s">
        <v>25</v>
      </c>
      <c r="G622" s="17">
        <v>1</v>
      </c>
      <c r="H622" s="93"/>
      <c r="T622"/>
      <c r="U622"/>
      <c r="V622"/>
      <c r="W622"/>
      <c r="X622"/>
      <c r="Y622"/>
      <c r="Z622"/>
      <c r="AA622"/>
    </row>
    <row r="623" spans="1:27" s="17" customFormat="1" x14ac:dyDescent="0.35">
      <c r="A623" s="21"/>
      <c r="B623" s="21"/>
      <c r="D623" s="21" t="s">
        <v>87</v>
      </c>
      <c r="E623" s="21" t="s">
        <v>21</v>
      </c>
      <c r="G623" s="17">
        <v>1</v>
      </c>
      <c r="H623" s="93"/>
      <c r="T623"/>
      <c r="U623"/>
      <c r="V623"/>
      <c r="W623"/>
      <c r="X623"/>
      <c r="Y623"/>
      <c r="Z623"/>
      <c r="AA623"/>
    </row>
    <row r="624" spans="1:27" s="17" customFormat="1" x14ac:dyDescent="0.35">
      <c r="A624" s="21"/>
      <c r="B624" s="21"/>
      <c r="D624" s="21" t="s">
        <v>75</v>
      </c>
      <c r="E624" s="21" t="s">
        <v>55</v>
      </c>
      <c r="G624" s="17">
        <v>1</v>
      </c>
      <c r="H624" s="93"/>
      <c r="T624"/>
      <c r="U624"/>
      <c r="V624"/>
      <c r="W624"/>
      <c r="X624"/>
      <c r="Y624"/>
      <c r="Z624"/>
      <c r="AA624"/>
    </row>
    <row r="625" spans="1:27" s="49" customFormat="1" ht="21.75" thickBot="1" x14ac:dyDescent="0.4">
      <c r="A625" s="48"/>
      <c r="B625" s="48"/>
      <c r="D625" s="48" t="s">
        <v>81</v>
      </c>
      <c r="E625" s="48" t="s">
        <v>15</v>
      </c>
      <c r="G625" s="49">
        <v>1</v>
      </c>
      <c r="H625" s="94"/>
      <c r="T625" s="76"/>
      <c r="U625" s="76"/>
      <c r="V625" s="76"/>
      <c r="W625" s="76"/>
      <c r="X625" s="76"/>
      <c r="Y625" s="76"/>
      <c r="Z625" s="76"/>
      <c r="AA625" s="76"/>
    </row>
    <row r="626" spans="1:27" s="17" customFormat="1" x14ac:dyDescent="0.35">
      <c r="A626" s="21" t="s">
        <v>758</v>
      </c>
      <c r="B626" s="21" t="s">
        <v>302</v>
      </c>
      <c r="C626" s="17">
        <v>5050</v>
      </c>
      <c r="D626" s="21" t="s">
        <v>76</v>
      </c>
      <c r="E626" s="21" t="s">
        <v>150</v>
      </c>
      <c r="F626" s="17" t="s">
        <v>726</v>
      </c>
      <c r="G626" s="17">
        <v>1</v>
      </c>
      <c r="H626" s="93">
        <v>46197</v>
      </c>
      <c r="T626"/>
      <c r="U626"/>
      <c r="V626"/>
      <c r="W626"/>
      <c r="X626"/>
      <c r="Y626"/>
      <c r="Z626"/>
      <c r="AA626"/>
    </row>
    <row r="627" spans="1:27" s="17" customFormat="1" x14ac:dyDescent="0.35">
      <c r="A627" s="21"/>
      <c r="B627" s="21"/>
      <c r="D627" s="21" t="s">
        <v>141</v>
      </c>
      <c r="E627" s="21" t="s">
        <v>151</v>
      </c>
      <c r="F627" s="17" t="s">
        <v>389</v>
      </c>
      <c r="G627" s="17">
        <v>1</v>
      </c>
      <c r="H627" s="93"/>
      <c r="T627"/>
      <c r="U627"/>
      <c r="V627"/>
      <c r="W627"/>
      <c r="X627"/>
      <c r="Y627"/>
      <c r="Z627"/>
      <c r="AA627"/>
    </row>
    <row r="628" spans="1:27" s="49" customFormat="1" ht="21.75" thickBot="1" x14ac:dyDescent="0.4">
      <c r="A628" s="48"/>
      <c r="B628" s="48"/>
      <c r="D628" s="48" t="s">
        <v>77</v>
      </c>
      <c r="E628" s="48" t="s">
        <v>20</v>
      </c>
      <c r="G628" s="49">
        <v>1</v>
      </c>
      <c r="H628" s="94"/>
      <c r="T628" s="76"/>
      <c r="U628" s="76"/>
      <c r="V628" s="76"/>
      <c r="W628" s="76"/>
      <c r="X628" s="76"/>
      <c r="Y628" s="76"/>
      <c r="Z628" s="76"/>
      <c r="AA628" s="76"/>
    </row>
    <row r="629" spans="1:27" s="17" customFormat="1" x14ac:dyDescent="0.35">
      <c r="A629" s="21" t="s">
        <v>759</v>
      </c>
      <c r="B629" s="21" t="s">
        <v>152</v>
      </c>
      <c r="C629" s="16">
        <v>5051</v>
      </c>
      <c r="D629" s="21"/>
      <c r="E629" s="21" t="s">
        <v>760</v>
      </c>
      <c r="G629" s="17">
        <v>2</v>
      </c>
      <c r="H629" s="93">
        <v>46197</v>
      </c>
      <c r="T629"/>
      <c r="U629"/>
      <c r="V629"/>
      <c r="W629"/>
      <c r="X629"/>
      <c r="Y629"/>
      <c r="Z629"/>
      <c r="AA629"/>
    </row>
    <row r="630" spans="1:27" s="17" customFormat="1" x14ac:dyDescent="0.35">
      <c r="A630" s="21"/>
      <c r="B630" s="21"/>
      <c r="D630" s="21"/>
      <c r="E630" s="21" t="s">
        <v>761</v>
      </c>
      <c r="F630" s="17" t="s">
        <v>370</v>
      </c>
      <c r="G630" s="17">
        <v>2</v>
      </c>
      <c r="H630" s="93"/>
      <c r="T630"/>
      <c r="U630"/>
      <c r="V630"/>
      <c r="W630"/>
      <c r="X630"/>
      <c r="Y630"/>
      <c r="Z630"/>
      <c r="AA630"/>
    </row>
    <row r="631" spans="1:27" s="17" customFormat="1" x14ac:dyDescent="0.35">
      <c r="A631" s="21"/>
      <c r="B631" s="21"/>
      <c r="D631" s="21"/>
      <c r="E631" s="21" t="s">
        <v>762</v>
      </c>
      <c r="G631" s="17">
        <v>1</v>
      </c>
      <c r="H631" s="93"/>
      <c r="T631"/>
      <c r="U631"/>
      <c r="V631"/>
      <c r="W631"/>
      <c r="X631"/>
      <c r="Y631"/>
      <c r="Z631"/>
      <c r="AA631"/>
    </row>
    <row r="632" spans="1:27" s="17" customFormat="1" x14ac:dyDescent="0.35">
      <c r="A632" s="21"/>
      <c r="B632" s="21"/>
      <c r="D632" s="21"/>
      <c r="E632" s="21"/>
      <c r="H632" s="93"/>
      <c r="T632"/>
      <c r="U632"/>
      <c r="V632"/>
      <c r="W632"/>
      <c r="X632"/>
      <c r="Y632"/>
      <c r="Z632"/>
      <c r="AA632"/>
    </row>
    <row r="633" spans="1:27" s="49" customFormat="1" ht="21.75" thickBot="1" x14ac:dyDescent="0.4">
      <c r="A633" s="48"/>
      <c r="B633" s="48"/>
      <c r="D633" s="48"/>
      <c r="E633" s="48"/>
      <c r="H633" s="94"/>
      <c r="T633" s="76"/>
      <c r="U633" s="76"/>
      <c r="V633" s="76"/>
      <c r="W633" s="76"/>
      <c r="X633" s="76"/>
      <c r="Y633" s="76"/>
      <c r="Z633" s="76"/>
      <c r="AA633" s="76"/>
    </row>
    <row r="634" spans="1:27" s="17" customFormat="1" x14ac:dyDescent="0.35">
      <c r="A634" s="21" t="s">
        <v>763</v>
      </c>
      <c r="B634" s="21" t="s">
        <v>764</v>
      </c>
      <c r="C634" s="16">
        <v>5052</v>
      </c>
      <c r="D634" s="21" t="s">
        <v>76</v>
      </c>
      <c r="E634" s="21" t="s">
        <v>150</v>
      </c>
      <c r="G634" s="17">
        <v>1</v>
      </c>
      <c r="H634" s="93">
        <v>46196</v>
      </c>
      <c r="T634"/>
      <c r="U634"/>
      <c r="V634"/>
      <c r="W634"/>
      <c r="X634"/>
      <c r="Y634"/>
      <c r="Z634"/>
      <c r="AA634"/>
    </row>
    <row r="635" spans="1:27" s="17" customFormat="1" x14ac:dyDescent="0.35">
      <c r="A635" s="21"/>
      <c r="B635" s="21"/>
      <c r="D635" s="21" t="s">
        <v>77</v>
      </c>
      <c r="E635" s="21" t="s">
        <v>20</v>
      </c>
      <c r="G635" s="17">
        <v>1</v>
      </c>
      <c r="H635" s="93"/>
      <c r="T635"/>
      <c r="U635"/>
      <c r="V635"/>
      <c r="W635"/>
      <c r="X635"/>
      <c r="Y635"/>
      <c r="Z635"/>
      <c r="AA635"/>
    </row>
    <row r="636" spans="1:27" s="17" customFormat="1" x14ac:dyDescent="0.35">
      <c r="A636" s="21"/>
      <c r="B636" s="21"/>
      <c r="D636" s="21" t="s">
        <v>350</v>
      </c>
      <c r="E636" s="21" t="s">
        <v>765</v>
      </c>
      <c r="F636" s="17" t="s">
        <v>705</v>
      </c>
      <c r="G636" s="17">
        <v>1</v>
      </c>
      <c r="H636" s="93"/>
      <c r="T636"/>
      <c r="U636"/>
      <c r="V636"/>
      <c r="W636"/>
      <c r="X636"/>
      <c r="Y636"/>
      <c r="Z636"/>
      <c r="AA636"/>
    </row>
    <row r="637" spans="1:27" s="17" customFormat="1" x14ac:dyDescent="0.35">
      <c r="A637" s="21"/>
      <c r="B637" s="21"/>
      <c r="D637" s="21" t="s">
        <v>87</v>
      </c>
      <c r="E637" s="21" t="s">
        <v>21</v>
      </c>
      <c r="G637" s="17">
        <v>1</v>
      </c>
      <c r="H637" s="93"/>
      <c r="T637"/>
      <c r="U637"/>
      <c r="V637"/>
      <c r="W637"/>
      <c r="X637"/>
      <c r="Y637"/>
      <c r="Z637"/>
      <c r="AA637"/>
    </row>
    <row r="638" spans="1:27" s="17" customFormat="1" x14ac:dyDescent="0.35">
      <c r="A638" s="21"/>
      <c r="B638" s="21"/>
      <c r="D638" s="21" t="s">
        <v>79</v>
      </c>
      <c r="E638" s="21" t="s">
        <v>73</v>
      </c>
      <c r="G638" s="17">
        <v>1</v>
      </c>
      <c r="H638" s="93"/>
      <c r="T638"/>
      <c r="U638"/>
      <c r="V638"/>
      <c r="W638"/>
      <c r="X638"/>
      <c r="Y638"/>
      <c r="Z638"/>
      <c r="AA638"/>
    </row>
    <row r="639" spans="1:27" s="17" customFormat="1" x14ac:dyDescent="0.35">
      <c r="A639" s="21"/>
      <c r="B639" s="21"/>
      <c r="D639" s="21" t="s">
        <v>75</v>
      </c>
      <c r="E639" s="21" t="s">
        <v>55</v>
      </c>
      <c r="G639" s="17">
        <v>1</v>
      </c>
      <c r="H639" s="93"/>
      <c r="T639"/>
      <c r="U639"/>
      <c r="V639"/>
      <c r="W639"/>
      <c r="X639"/>
      <c r="Y639"/>
      <c r="Z639"/>
      <c r="AA639"/>
    </row>
    <row r="640" spans="1:27" s="17" customFormat="1" x14ac:dyDescent="0.35">
      <c r="A640" s="21"/>
      <c r="B640" s="21"/>
      <c r="D640" s="21" t="s">
        <v>81</v>
      </c>
      <c r="E640" s="21" t="s">
        <v>15</v>
      </c>
      <c r="G640" s="17">
        <v>1</v>
      </c>
      <c r="H640" s="93"/>
      <c r="T640"/>
      <c r="U640"/>
      <c r="V640"/>
      <c r="W640"/>
      <c r="X640"/>
      <c r="Y640"/>
      <c r="Z640"/>
      <c r="AA640"/>
    </row>
    <row r="641" spans="1:27" s="49" customFormat="1" ht="21.75" thickBot="1" x14ac:dyDescent="0.4">
      <c r="A641" s="48"/>
      <c r="B641" s="48"/>
      <c r="D641" s="48" t="s">
        <v>96</v>
      </c>
      <c r="E641" s="48" t="s">
        <v>139</v>
      </c>
      <c r="G641" s="49">
        <v>24</v>
      </c>
      <c r="H641" s="94"/>
      <c r="T641" s="76"/>
      <c r="U641" s="76"/>
      <c r="V641" s="76"/>
      <c r="W641" s="76"/>
      <c r="X641" s="76"/>
      <c r="Y641" s="76"/>
      <c r="Z641" s="76"/>
      <c r="AA641" s="76"/>
    </row>
    <row r="642" spans="1:27" s="17" customFormat="1" x14ac:dyDescent="0.35">
      <c r="A642" s="21" t="s">
        <v>743</v>
      </c>
      <c r="B642" s="21" t="s">
        <v>286</v>
      </c>
      <c r="C642" s="16">
        <v>5053</v>
      </c>
      <c r="D642" s="21" t="s">
        <v>76</v>
      </c>
      <c r="E642" s="21" t="s">
        <v>150</v>
      </c>
      <c r="G642" s="17">
        <v>3</v>
      </c>
      <c r="H642" s="93"/>
      <c r="T642"/>
      <c r="U642"/>
      <c r="V642"/>
      <c r="W642"/>
      <c r="X642"/>
      <c r="Y642"/>
      <c r="Z642"/>
      <c r="AA642"/>
    </row>
    <row r="643" spans="1:27" s="17" customFormat="1" x14ac:dyDescent="0.35">
      <c r="A643" s="21"/>
      <c r="B643" s="21"/>
      <c r="D643" s="21" t="s">
        <v>106</v>
      </c>
      <c r="E643" s="21" t="s">
        <v>69</v>
      </c>
      <c r="G643" s="17">
        <v>3</v>
      </c>
      <c r="H643" s="93"/>
      <c r="T643"/>
      <c r="U643"/>
      <c r="V643"/>
      <c r="W643"/>
      <c r="X643"/>
      <c r="Y643"/>
      <c r="Z643"/>
      <c r="AA643"/>
    </row>
    <row r="644" spans="1:27" s="17" customFormat="1" x14ac:dyDescent="0.35">
      <c r="A644" s="21"/>
      <c r="B644" s="21"/>
      <c r="D644" s="21" t="s">
        <v>77</v>
      </c>
      <c r="E644" s="21" t="s">
        <v>20</v>
      </c>
      <c r="F644" s="17" t="s">
        <v>771</v>
      </c>
      <c r="G644" s="17">
        <v>3</v>
      </c>
      <c r="H644" s="93"/>
      <c r="T644"/>
      <c r="U644"/>
      <c r="V644"/>
      <c r="W644"/>
      <c r="X644"/>
      <c r="Y644"/>
      <c r="Z644"/>
      <c r="AA644"/>
    </row>
    <row r="645" spans="1:27" s="17" customFormat="1" x14ac:dyDescent="0.35">
      <c r="A645" s="21"/>
      <c r="B645" s="21"/>
      <c r="D645" s="21" t="s">
        <v>91</v>
      </c>
      <c r="E645" s="21" t="s">
        <v>27</v>
      </c>
      <c r="G645" s="17">
        <v>3</v>
      </c>
      <c r="H645" s="93"/>
      <c r="T645"/>
      <c r="U645"/>
      <c r="V645"/>
      <c r="W645"/>
      <c r="X645"/>
      <c r="Y645"/>
      <c r="Z645"/>
      <c r="AA645"/>
    </row>
    <row r="646" spans="1:27" s="17" customFormat="1" x14ac:dyDescent="0.35">
      <c r="A646" s="21"/>
      <c r="B646" s="21"/>
      <c r="D646" s="21" t="s">
        <v>83</v>
      </c>
      <c r="E646" s="21" t="s">
        <v>12</v>
      </c>
      <c r="G646" s="17">
        <v>3</v>
      </c>
      <c r="H646" s="93"/>
      <c r="T646"/>
      <c r="U646"/>
      <c r="V646"/>
      <c r="W646"/>
      <c r="X646"/>
      <c r="Y646"/>
      <c r="Z646"/>
      <c r="AA646"/>
    </row>
    <row r="647" spans="1:27" s="17" customFormat="1" x14ac:dyDescent="0.35">
      <c r="A647" s="21"/>
      <c r="B647" s="21"/>
      <c r="D647" s="21" t="s">
        <v>84</v>
      </c>
      <c r="E647" s="21" t="s">
        <v>13</v>
      </c>
      <c r="G647" s="17">
        <v>3</v>
      </c>
      <c r="H647" s="93"/>
      <c r="T647"/>
      <c r="U647"/>
      <c r="V647"/>
      <c r="W647"/>
      <c r="X647"/>
      <c r="Y647"/>
      <c r="Z647"/>
      <c r="AA647"/>
    </row>
    <row r="648" spans="1:27" s="17" customFormat="1" x14ac:dyDescent="0.35">
      <c r="A648" s="21"/>
      <c r="B648" s="21"/>
      <c r="D648" s="21" t="s">
        <v>78</v>
      </c>
      <c r="E648" s="21" t="s">
        <v>16</v>
      </c>
      <c r="G648" s="17">
        <v>3</v>
      </c>
      <c r="H648" s="93"/>
      <c r="T648"/>
      <c r="U648"/>
      <c r="V648"/>
      <c r="W648"/>
      <c r="X648"/>
      <c r="Y648"/>
      <c r="Z648"/>
      <c r="AA648"/>
    </row>
    <row r="649" spans="1:27" s="17" customFormat="1" x14ac:dyDescent="0.35">
      <c r="A649" s="21"/>
      <c r="B649" s="21"/>
      <c r="D649" s="21" t="s">
        <v>92</v>
      </c>
      <c r="E649" s="21" t="s">
        <v>51</v>
      </c>
      <c r="G649" s="17">
        <v>3</v>
      </c>
      <c r="H649" s="93"/>
      <c r="T649"/>
      <c r="U649"/>
      <c r="V649"/>
      <c r="W649"/>
      <c r="X649"/>
      <c r="Y649"/>
      <c r="Z649"/>
      <c r="AA649"/>
    </row>
    <row r="650" spans="1:27" s="17" customFormat="1" x14ac:dyDescent="0.35">
      <c r="A650" s="21"/>
      <c r="B650" s="21"/>
      <c r="D650" s="21" t="s">
        <v>93</v>
      </c>
      <c r="E650" s="21" t="s">
        <v>14</v>
      </c>
      <c r="G650" s="17">
        <v>3</v>
      </c>
      <c r="H650" s="93"/>
      <c r="T650"/>
      <c r="U650"/>
      <c r="V650"/>
      <c r="W650"/>
      <c r="X650"/>
      <c r="Y650"/>
      <c r="Z650"/>
      <c r="AA650"/>
    </row>
    <row r="651" spans="1:27" s="17" customFormat="1" x14ac:dyDescent="0.35">
      <c r="A651" s="21"/>
      <c r="B651" s="21"/>
      <c r="D651" s="21" t="s">
        <v>99</v>
      </c>
      <c r="E651" s="21" t="s">
        <v>766</v>
      </c>
      <c r="G651" s="17">
        <v>3</v>
      </c>
      <c r="H651" s="93"/>
      <c r="T651"/>
      <c r="U651"/>
      <c r="V651"/>
      <c r="W651"/>
      <c r="X651"/>
      <c r="Y651"/>
      <c r="Z651"/>
      <c r="AA651"/>
    </row>
    <row r="652" spans="1:27" s="17" customFormat="1" x14ac:dyDescent="0.35">
      <c r="A652" s="21"/>
      <c r="B652" s="21"/>
      <c r="D652" s="21" t="s">
        <v>87</v>
      </c>
      <c r="E652" s="21" t="s">
        <v>21</v>
      </c>
      <c r="G652" s="17">
        <v>3</v>
      </c>
      <c r="H652" s="93"/>
      <c r="T652"/>
      <c r="U652"/>
      <c r="V652"/>
      <c r="W652"/>
      <c r="X652"/>
      <c r="Y652"/>
      <c r="Z652"/>
      <c r="AA652"/>
    </row>
    <row r="653" spans="1:27" s="17" customFormat="1" x14ac:dyDescent="0.35">
      <c r="A653" s="21"/>
      <c r="B653" s="21"/>
      <c r="D653" s="21" t="s">
        <v>131</v>
      </c>
      <c r="E653" s="21" t="s">
        <v>72</v>
      </c>
      <c r="G653" s="17">
        <v>6</v>
      </c>
      <c r="H653" s="93"/>
      <c r="T653"/>
      <c r="U653"/>
      <c r="V653"/>
      <c r="W653"/>
      <c r="X653"/>
      <c r="Y653"/>
      <c r="Z653"/>
      <c r="AA653"/>
    </row>
    <row r="654" spans="1:27" s="17" customFormat="1" x14ac:dyDescent="0.35">
      <c r="A654" s="21"/>
      <c r="B654" s="21"/>
      <c r="D654" s="21" t="s">
        <v>81</v>
      </c>
      <c r="E654" s="21" t="s">
        <v>15</v>
      </c>
      <c r="G654" s="17">
        <v>3</v>
      </c>
      <c r="H654" s="93"/>
      <c r="T654"/>
      <c r="U654"/>
      <c r="V654"/>
      <c r="W654"/>
      <c r="X654"/>
      <c r="Y654"/>
      <c r="Z654"/>
      <c r="AA654"/>
    </row>
    <row r="655" spans="1:27" s="17" customFormat="1" x14ac:dyDescent="0.35">
      <c r="A655" s="21"/>
      <c r="B655" s="21"/>
      <c r="D655" s="21" t="s">
        <v>94</v>
      </c>
      <c r="E655" s="21" t="s">
        <v>18</v>
      </c>
      <c r="G655" s="17">
        <v>72</v>
      </c>
      <c r="H655" s="93"/>
      <c r="T655"/>
      <c r="U655"/>
      <c r="V655"/>
      <c r="W655"/>
      <c r="X655"/>
      <c r="Y655"/>
      <c r="Z655"/>
      <c r="AA655"/>
    </row>
    <row r="656" spans="1:27" s="17" customFormat="1" x14ac:dyDescent="0.35">
      <c r="A656" s="21"/>
      <c r="B656" s="21"/>
      <c r="D656" s="21" t="s">
        <v>212</v>
      </c>
      <c r="E656" s="21" t="s">
        <v>213</v>
      </c>
      <c r="G656" s="17">
        <v>3</v>
      </c>
      <c r="H656" s="93"/>
      <c r="T656"/>
      <c r="U656"/>
      <c r="V656"/>
      <c r="W656"/>
      <c r="X656"/>
      <c r="Y656"/>
      <c r="Z656"/>
      <c r="AA656"/>
    </row>
    <row r="657" spans="1:27" s="17" customFormat="1" x14ac:dyDescent="0.35">
      <c r="A657" s="21"/>
      <c r="B657" s="21"/>
      <c r="D657" s="21" t="s">
        <v>322</v>
      </c>
      <c r="E657" s="21" t="s">
        <v>323</v>
      </c>
      <c r="G657" s="17">
        <v>6</v>
      </c>
      <c r="H657" s="93"/>
      <c r="T657"/>
      <c r="U657"/>
      <c r="V657"/>
      <c r="W657"/>
      <c r="X657"/>
      <c r="Y657"/>
      <c r="Z657"/>
      <c r="AA657"/>
    </row>
    <row r="658" spans="1:27" s="17" customFormat="1" x14ac:dyDescent="0.35">
      <c r="A658" s="21"/>
      <c r="B658" s="21"/>
      <c r="D658" s="21" t="s">
        <v>767</v>
      </c>
      <c r="E658" s="21" t="s">
        <v>768</v>
      </c>
      <c r="G658" s="17">
        <v>6</v>
      </c>
      <c r="H658" s="93"/>
      <c r="T658"/>
      <c r="U658"/>
      <c r="V658"/>
      <c r="W658"/>
      <c r="X658"/>
      <c r="Y658"/>
      <c r="Z658"/>
      <c r="AA658"/>
    </row>
    <row r="659" spans="1:27" s="17" customFormat="1" x14ac:dyDescent="0.35">
      <c r="A659" s="21"/>
      <c r="B659" s="21"/>
      <c r="D659" s="21" t="s">
        <v>116</v>
      </c>
      <c r="E659" s="21" t="s">
        <v>122</v>
      </c>
      <c r="G659" s="17">
        <v>3</v>
      </c>
      <c r="H659" s="93"/>
      <c r="T659"/>
      <c r="U659"/>
      <c r="V659"/>
      <c r="W659"/>
      <c r="X659"/>
      <c r="Y659"/>
      <c r="Z659"/>
      <c r="AA659"/>
    </row>
    <row r="660" spans="1:27" s="17" customFormat="1" x14ac:dyDescent="0.35">
      <c r="A660" s="21"/>
      <c r="B660" s="21"/>
      <c r="D660" s="21" t="s">
        <v>95</v>
      </c>
      <c r="E660" s="21" t="s">
        <v>71</v>
      </c>
      <c r="G660" s="17">
        <v>3</v>
      </c>
      <c r="H660" s="93"/>
      <c r="T660"/>
      <c r="U660"/>
      <c r="V660"/>
      <c r="W660"/>
      <c r="X660"/>
      <c r="Y660"/>
      <c r="Z660"/>
      <c r="AA660"/>
    </row>
    <row r="661" spans="1:27" s="17" customFormat="1" x14ac:dyDescent="0.35">
      <c r="A661" s="21"/>
      <c r="B661" s="21"/>
      <c r="D661" s="21" t="s">
        <v>239</v>
      </c>
      <c r="E661" s="21" t="s">
        <v>240</v>
      </c>
      <c r="G661" s="17">
        <v>6</v>
      </c>
      <c r="H661" s="93"/>
      <c r="T661"/>
      <c r="U661"/>
      <c r="V661"/>
      <c r="W661"/>
      <c r="X661"/>
      <c r="Y661"/>
      <c r="Z661"/>
      <c r="AA661"/>
    </row>
    <row r="662" spans="1:27" s="17" customFormat="1" x14ac:dyDescent="0.35">
      <c r="A662" s="21"/>
      <c r="B662" s="21"/>
      <c r="D662" s="21" t="s">
        <v>256</v>
      </c>
      <c r="E662" s="21" t="s">
        <v>257</v>
      </c>
      <c r="G662" s="17">
        <v>3</v>
      </c>
      <c r="H662" s="93"/>
      <c r="T662"/>
      <c r="U662"/>
      <c r="V662"/>
      <c r="W662"/>
      <c r="X662"/>
      <c r="Y662"/>
      <c r="Z662"/>
      <c r="AA662"/>
    </row>
    <row r="663" spans="1:27" s="17" customFormat="1" x14ac:dyDescent="0.35">
      <c r="A663" s="21"/>
      <c r="B663" s="21"/>
      <c r="D663" s="21" t="s">
        <v>113</v>
      </c>
      <c r="E663" s="21" t="s">
        <v>119</v>
      </c>
      <c r="G663" s="17">
        <v>3</v>
      </c>
      <c r="H663" s="93"/>
      <c r="T663"/>
      <c r="U663"/>
      <c r="V663"/>
      <c r="W663"/>
      <c r="X663"/>
      <c r="Y663"/>
      <c r="Z663"/>
      <c r="AA663"/>
    </row>
    <row r="664" spans="1:27" s="17" customFormat="1" x14ac:dyDescent="0.35">
      <c r="A664" s="21"/>
      <c r="B664" s="21"/>
      <c r="D664" s="21" t="s">
        <v>115</v>
      </c>
      <c r="E664" s="21" t="s">
        <v>121</v>
      </c>
      <c r="G664" s="17">
        <v>3</v>
      </c>
      <c r="H664" s="93"/>
      <c r="T664"/>
      <c r="U664"/>
      <c r="V664"/>
      <c r="W664"/>
      <c r="X664"/>
      <c r="Y664"/>
      <c r="Z664"/>
      <c r="AA664"/>
    </row>
    <row r="665" spans="1:27" s="17" customFormat="1" x14ac:dyDescent="0.35">
      <c r="A665" s="21"/>
      <c r="B665" s="21"/>
      <c r="D665" s="21" t="s">
        <v>310</v>
      </c>
      <c r="E665" s="21" t="s">
        <v>311</v>
      </c>
      <c r="G665" s="17">
        <v>3</v>
      </c>
      <c r="H665" s="93"/>
      <c r="T665"/>
      <c r="U665"/>
      <c r="V665"/>
      <c r="W665"/>
      <c r="X665"/>
      <c r="Y665"/>
      <c r="Z665"/>
      <c r="AA665"/>
    </row>
    <row r="666" spans="1:27" s="17" customFormat="1" x14ac:dyDescent="0.35">
      <c r="A666" s="21"/>
      <c r="B666" s="21"/>
      <c r="D666" s="21" t="s">
        <v>769</v>
      </c>
      <c r="E666" s="21" t="s">
        <v>770</v>
      </c>
      <c r="G666" s="17">
        <v>3</v>
      </c>
      <c r="H666" s="93"/>
      <c r="T666"/>
      <c r="U666"/>
      <c r="V666"/>
      <c r="W666"/>
      <c r="X666"/>
      <c r="Y666"/>
      <c r="Z666"/>
      <c r="AA666"/>
    </row>
    <row r="667" spans="1:27" s="17" customFormat="1" x14ac:dyDescent="0.35">
      <c r="A667" s="21"/>
      <c r="B667" s="21"/>
      <c r="D667" s="21" t="s">
        <v>324</v>
      </c>
      <c r="E667" s="21" t="s">
        <v>325</v>
      </c>
      <c r="G667" s="17">
        <v>3</v>
      </c>
      <c r="H667" s="93"/>
      <c r="T667"/>
      <c r="U667"/>
      <c r="V667"/>
      <c r="W667"/>
      <c r="X667"/>
      <c r="Y667"/>
      <c r="Z667"/>
      <c r="AA667"/>
    </row>
    <row r="668" spans="1:27" s="49" customFormat="1" ht="21.75" thickBot="1" x14ac:dyDescent="0.4">
      <c r="A668" s="48"/>
      <c r="B668" s="48"/>
      <c r="D668" s="48"/>
      <c r="E668" s="48"/>
      <c r="H668" s="94"/>
      <c r="T668" s="76"/>
      <c r="U668" s="76"/>
      <c r="V668" s="76"/>
      <c r="W668" s="76"/>
      <c r="X668" s="76"/>
      <c r="Y668" s="76"/>
      <c r="Z668" s="76"/>
      <c r="AA668" s="76"/>
    </row>
    <row r="669" spans="1:27" s="17" customFormat="1" x14ac:dyDescent="0.35">
      <c r="A669" s="21"/>
      <c r="B669" s="21"/>
      <c r="D669" s="21"/>
      <c r="E669" s="21"/>
      <c r="H669" s="93"/>
      <c r="T669"/>
      <c r="U669"/>
      <c r="V669"/>
      <c r="W669"/>
      <c r="X669"/>
      <c r="Y669"/>
      <c r="Z669"/>
      <c r="AA669"/>
    </row>
    <row r="670" spans="1:27" s="17" customFormat="1" x14ac:dyDescent="0.35">
      <c r="A670" s="21"/>
      <c r="B670" s="21"/>
      <c r="D670" s="21"/>
      <c r="E670" s="21"/>
      <c r="H670" s="93"/>
      <c r="T670"/>
      <c r="U670"/>
      <c r="V670"/>
      <c r="W670"/>
      <c r="X670"/>
      <c r="Y670"/>
      <c r="Z670"/>
      <c r="AA670"/>
    </row>
    <row r="671" spans="1:27" s="17" customFormat="1" x14ac:dyDescent="0.35">
      <c r="A671" s="21"/>
      <c r="B671" s="21"/>
      <c r="D671" s="21"/>
      <c r="E671" s="21"/>
      <c r="H671" s="93"/>
      <c r="T671"/>
      <c r="U671"/>
      <c r="V671"/>
      <c r="W671"/>
      <c r="X671"/>
      <c r="Y671"/>
      <c r="Z671"/>
      <c r="AA671"/>
    </row>
    <row r="672" spans="1:27" s="17" customFormat="1" x14ac:dyDescent="0.35">
      <c r="A672" s="21"/>
      <c r="B672" s="21"/>
      <c r="D672" s="21"/>
      <c r="E672" s="21"/>
      <c r="H672" s="93"/>
      <c r="T672"/>
      <c r="U672"/>
      <c r="V672"/>
      <c r="W672"/>
      <c r="X672"/>
      <c r="Y672"/>
      <c r="Z672"/>
      <c r="AA672"/>
    </row>
    <row r="673" spans="1:27" s="17" customFormat="1" x14ac:dyDescent="0.35">
      <c r="A673" s="21"/>
      <c r="B673" s="21"/>
      <c r="D673" s="21"/>
      <c r="E673" s="21"/>
      <c r="H673" s="93"/>
      <c r="T673"/>
      <c r="U673"/>
      <c r="V673"/>
      <c r="W673"/>
      <c r="X673"/>
      <c r="Y673"/>
      <c r="Z673"/>
      <c r="AA673"/>
    </row>
    <row r="674" spans="1:27" s="17" customFormat="1" x14ac:dyDescent="0.35">
      <c r="A674" s="21"/>
      <c r="B674" s="21"/>
      <c r="D674" s="21"/>
      <c r="E674" s="21"/>
      <c r="H674" s="93"/>
      <c r="T674"/>
      <c r="U674"/>
      <c r="V674"/>
      <c r="W674"/>
      <c r="X674"/>
      <c r="Y674"/>
      <c r="Z674"/>
      <c r="AA674"/>
    </row>
    <row r="675" spans="1:27" s="17" customFormat="1" x14ac:dyDescent="0.35">
      <c r="A675" s="21"/>
      <c r="B675" s="21"/>
      <c r="D675" s="21"/>
      <c r="E675" s="21"/>
      <c r="H675" s="93"/>
      <c r="T675"/>
      <c r="U675"/>
      <c r="V675"/>
      <c r="W675"/>
      <c r="X675"/>
      <c r="Y675"/>
      <c r="Z675"/>
      <c r="AA675"/>
    </row>
    <row r="676" spans="1:27" s="17" customFormat="1" x14ac:dyDescent="0.35">
      <c r="A676" s="21"/>
      <c r="B676" s="21"/>
      <c r="D676" s="21"/>
      <c r="E676" s="21"/>
      <c r="H676" s="93"/>
      <c r="T676"/>
      <c r="U676"/>
      <c r="V676"/>
      <c r="W676"/>
      <c r="X676"/>
      <c r="Y676"/>
      <c r="Z676"/>
      <c r="AA676"/>
    </row>
    <row r="677" spans="1:27" s="17" customFormat="1" x14ac:dyDescent="0.35">
      <c r="A677" s="21"/>
      <c r="B677" s="21"/>
      <c r="D677" s="21"/>
      <c r="E677" s="21"/>
      <c r="H677" s="93"/>
      <c r="T677"/>
      <c r="U677"/>
      <c r="V677"/>
      <c r="W677"/>
      <c r="X677"/>
      <c r="Y677"/>
      <c r="Z677"/>
      <c r="AA677"/>
    </row>
    <row r="678" spans="1:27" s="17" customFormat="1" x14ac:dyDescent="0.35">
      <c r="A678" s="21"/>
      <c r="B678" s="21"/>
      <c r="D678" s="21"/>
      <c r="E678" s="21"/>
      <c r="H678" s="93"/>
      <c r="T678"/>
      <c r="U678"/>
      <c r="V678"/>
      <c r="W678"/>
      <c r="X678"/>
      <c r="Y678"/>
      <c r="Z678"/>
      <c r="AA678"/>
    </row>
    <row r="679" spans="1:27" s="17" customFormat="1" x14ac:dyDescent="0.35">
      <c r="A679" s="21"/>
      <c r="B679" s="21"/>
      <c r="D679" s="21"/>
      <c r="E679" s="21"/>
      <c r="H679" s="93"/>
      <c r="T679"/>
      <c r="U679"/>
      <c r="V679"/>
      <c r="W679"/>
      <c r="X679"/>
      <c r="Y679"/>
      <c r="Z679"/>
      <c r="AA679"/>
    </row>
    <row r="680" spans="1:27" s="17" customFormat="1" x14ac:dyDescent="0.35">
      <c r="A680" s="21"/>
      <c r="B680" s="21"/>
      <c r="D680" s="21"/>
      <c r="E680" s="21"/>
      <c r="H680" s="93"/>
      <c r="T680"/>
      <c r="U680"/>
      <c r="V680"/>
      <c r="W680"/>
      <c r="X680"/>
      <c r="Y680"/>
      <c r="Z680"/>
      <c r="AA680"/>
    </row>
    <row r="681" spans="1:27" s="17" customFormat="1" x14ac:dyDescent="0.35">
      <c r="A681" s="21"/>
      <c r="B681" s="21"/>
      <c r="D681" s="21"/>
      <c r="E681" s="21"/>
      <c r="H681" s="93"/>
      <c r="T681"/>
      <c r="U681"/>
      <c r="V681"/>
      <c r="W681"/>
      <c r="X681"/>
      <c r="Y681"/>
      <c r="Z681"/>
      <c r="AA681"/>
    </row>
    <row r="682" spans="1:27" s="17" customFormat="1" x14ac:dyDescent="0.35">
      <c r="A682" s="21"/>
      <c r="B682" s="21"/>
      <c r="D682" s="21"/>
      <c r="E682" s="21"/>
      <c r="H682" s="93"/>
      <c r="T682"/>
      <c r="U682"/>
      <c r="V682"/>
      <c r="W682"/>
      <c r="X682"/>
      <c r="Y682"/>
      <c r="Z682"/>
      <c r="AA682"/>
    </row>
    <row r="683" spans="1:27" s="17" customFormat="1" x14ac:dyDescent="0.35">
      <c r="A683" s="21"/>
      <c r="B683" s="21"/>
      <c r="D683" s="21"/>
      <c r="E683" s="21"/>
      <c r="H683" s="93"/>
      <c r="T683"/>
      <c r="U683"/>
      <c r="V683"/>
      <c r="W683"/>
      <c r="X683"/>
      <c r="Y683"/>
      <c r="Z683"/>
      <c r="AA683"/>
    </row>
    <row r="684" spans="1:27" s="17" customFormat="1" x14ac:dyDescent="0.35">
      <c r="A684" s="21"/>
      <c r="B684" s="21"/>
      <c r="D684" s="21"/>
      <c r="E684" s="21"/>
      <c r="H684" s="93"/>
      <c r="T684"/>
      <c r="U684"/>
      <c r="V684"/>
      <c r="W684"/>
      <c r="X684"/>
      <c r="Y684"/>
      <c r="Z684"/>
      <c r="AA684"/>
    </row>
    <row r="685" spans="1:27" s="17" customFormat="1" x14ac:dyDescent="0.35">
      <c r="A685" s="21"/>
      <c r="B685" s="21"/>
      <c r="D685" s="21"/>
      <c r="E685" s="21"/>
      <c r="H685" s="93"/>
      <c r="T685"/>
      <c r="U685"/>
      <c r="V685"/>
      <c r="W685"/>
      <c r="X685"/>
      <c r="Y685"/>
      <c r="Z685"/>
      <c r="AA685"/>
    </row>
    <row r="686" spans="1:27" s="17" customFormat="1" x14ac:dyDescent="0.35">
      <c r="A686" s="21"/>
      <c r="B686" s="21"/>
      <c r="D686" s="21"/>
      <c r="E686" s="21"/>
      <c r="H686" s="93"/>
      <c r="T686"/>
      <c r="U686"/>
      <c r="V686"/>
      <c r="W686"/>
      <c r="X686"/>
      <c r="Y686"/>
      <c r="Z686"/>
      <c r="AA686"/>
    </row>
    <row r="687" spans="1:27" s="17" customFormat="1" x14ac:dyDescent="0.35">
      <c r="A687" s="21"/>
      <c r="B687" s="21"/>
      <c r="D687" s="21"/>
      <c r="E687" s="21"/>
      <c r="H687" s="93"/>
      <c r="T687"/>
      <c r="U687"/>
      <c r="V687"/>
      <c r="W687"/>
      <c r="X687"/>
      <c r="Y687"/>
      <c r="Z687"/>
      <c r="AA687"/>
    </row>
    <row r="688" spans="1:27" s="17" customFormat="1" x14ac:dyDescent="0.35">
      <c r="A688" s="21"/>
      <c r="B688" s="21"/>
      <c r="D688" s="21"/>
      <c r="E688" s="21"/>
      <c r="H688" s="93"/>
      <c r="T688"/>
      <c r="U688"/>
      <c r="V688"/>
      <c r="W688"/>
      <c r="X688"/>
      <c r="Y688"/>
      <c r="Z688"/>
      <c r="AA688"/>
    </row>
    <row r="689" spans="1:27" s="17" customFormat="1" x14ac:dyDescent="0.35">
      <c r="A689" s="21"/>
      <c r="B689" s="21"/>
      <c r="D689" s="21"/>
      <c r="E689" s="21"/>
      <c r="H689" s="93"/>
      <c r="T689"/>
      <c r="U689"/>
      <c r="V689"/>
      <c r="W689"/>
      <c r="X689"/>
      <c r="Y689"/>
      <c r="Z689"/>
      <c r="AA689"/>
    </row>
    <row r="690" spans="1:27" s="17" customFormat="1" x14ac:dyDescent="0.35">
      <c r="A690" s="21"/>
      <c r="B690" s="21"/>
      <c r="D690" s="21"/>
      <c r="E690" s="21"/>
      <c r="H690" s="93"/>
      <c r="T690"/>
      <c r="U690"/>
      <c r="V690"/>
      <c r="W690"/>
      <c r="X690"/>
      <c r="Y690"/>
      <c r="Z690"/>
      <c r="AA690"/>
    </row>
    <row r="691" spans="1:27" s="17" customFormat="1" x14ac:dyDescent="0.35">
      <c r="A691" s="21"/>
      <c r="B691" s="21"/>
      <c r="D691" s="21"/>
      <c r="E691" s="21"/>
      <c r="H691" s="93"/>
      <c r="T691"/>
      <c r="U691"/>
      <c r="V691"/>
      <c r="W691"/>
      <c r="X691"/>
      <c r="Y691"/>
      <c r="Z691"/>
      <c r="AA691"/>
    </row>
    <row r="692" spans="1:27" s="17" customFormat="1" x14ac:dyDescent="0.35">
      <c r="A692" s="21"/>
      <c r="B692" s="21"/>
      <c r="D692" s="21"/>
      <c r="E692" s="21"/>
      <c r="H692" s="93"/>
      <c r="T692"/>
      <c r="U692"/>
      <c r="V692"/>
      <c r="W692"/>
      <c r="X692"/>
      <c r="Y692"/>
      <c r="Z692"/>
      <c r="AA692"/>
    </row>
    <row r="693" spans="1:27" s="17" customFormat="1" x14ac:dyDescent="0.35">
      <c r="A693" s="21"/>
      <c r="B693" s="21"/>
      <c r="D693" s="21"/>
      <c r="E693" s="21"/>
      <c r="H693" s="93"/>
      <c r="T693"/>
      <c r="U693"/>
      <c r="V693"/>
      <c r="W693"/>
      <c r="X693"/>
      <c r="Y693"/>
      <c r="Z693"/>
      <c r="AA693"/>
    </row>
    <row r="694" spans="1:27" s="17" customFormat="1" x14ac:dyDescent="0.35">
      <c r="A694" s="21"/>
      <c r="B694" s="21"/>
      <c r="D694" s="21"/>
      <c r="E694" s="21"/>
      <c r="H694" s="93"/>
      <c r="T694"/>
      <c r="U694"/>
      <c r="V694"/>
      <c r="W694"/>
      <c r="X694"/>
      <c r="Y694"/>
      <c r="Z694"/>
      <c r="AA694"/>
    </row>
    <row r="695" spans="1:27" s="17" customFormat="1" x14ac:dyDescent="0.35">
      <c r="A695" s="21"/>
      <c r="B695" s="21"/>
      <c r="D695" s="21"/>
      <c r="E695" s="21"/>
      <c r="H695" s="93"/>
      <c r="T695"/>
      <c r="U695"/>
      <c r="V695"/>
      <c r="W695"/>
      <c r="X695"/>
      <c r="Y695"/>
      <c r="Z695"/>
      <c r="AA695"/>
    </row>
    <row r="696" spans="1:27" s="17" customFormat="1" x14ac:dyDescent="0.35">
      <c r="A696" s="21"/>
      <c r="B696" s="21"/>
      <c r="D696" s="21"/>
      <c r="E696" s="21"/>
      <c r="H696" s="93"/>
      <c r="T696"/>
      <c r="U696"/>
      <c r="V696"/>
      <c r="W696"/>
      <c r="X696"/>
      <c r="Y696"/>
      <c r="Z696"/>
      <c r="AA696"/>
    </row>
    <row r="697" spans="1:27" s="17" customFormat="1" x14ac:dyDescent="0.35">
      <c r="A697" s="21"/>
      <c r="B697" s="21"/>
      <c r="D697" s="21"/>
      <c r="E697" s="21"/>
      <c r="H697" s="93"/>
      <c r="T697"/>
      <c r="U697"/>
      <c r="V697"/>
      <c r="W697"/>
      <c r="X697"/>
      <c r="Y697"/>
      <c r="Z697"/>
      <c r="AA697"/>
    </row>
    <row r="698" spans="1:27" s="17" customFormat="1" x14ac:dyDescent="0.35">
      <c r="A698" s="21"/>
      <c r="B698" s="21"/>
      <c r="D698" s="21"/>
      <c r="E698" s="21"/>
      <c r="H698" s="93"/>
      <c r="T698"/>
      <c r="U698"/>
      <c r="V698"/>
      <c r="W698"/>
      <c r="X698"/>
      <c r="Y698"/>
      <c r="Z698"/>
      <c r="AA698"/>
    </row>
    <row r="699" spans="1:27" s="17" customFormat="1" x14ac:dyDescent="0.35">
      <c r="A699" s="21"/>
      <c r="B699" s="21"/>
      <c r="D699" s="21"/>
      <c r="E699" s="21"/>
      <c r="H699" s="93"/>
      <c r="T699"/>
      <c r="U699"/>
      <c r="V699"/>
      <c r="W699"/>
      <c r="X699"/>
      <c r="Y699"/>
      <c r="Z699"/>
      <c r="AA699"/>
    </row>
    <row r="700" spans="1:27" s="17" customFormat="1" x14ac:dyDescent="0.35">
      <c r="A700" s="21"/>
      <c r="B700" s="21"/>
      <c r="D700" s="21"/>
      <c r="E700" s="21"/>
      <c r="H700" s="93"/>
      <c r="T700"/>
      <c r="U700"/>
      <c r="V700"/>
      <c r="W700"/>
      <c r="X700"/>
      <c r="Y700"/>
      <c r="Z700"/>
      <c r="AA700"/>
    </row>
    <row r="701" spans="1:27" s="17" customFormat="1" x14ac:dyDescent="0.35">
      <c r="A701" s="21"/>
      <c r="B701" s="21"/>
      <c r="D701" s="21"/>
      <c r="E701" s="21"/>
      <c r="H701" s="93"/>
      <c r="T701"/>
      <c r="U701"/>
      <c r="V701"/>
      <c r="W701"/>
      <c r="X701"/>
      <c r="Y701"/>
      <c r="Z701"/>
      <c r="AA701"/>
    </row>
    <row r="702" spans="1:27" s="17" customFormat="1" x14ac:dyDescent="0.35">
      <c r="A702" s="21"/>
      <c r="B702" s="21"/>
      <c r="D702" s="21"/>
      <c r="E702" s="21"/>
      <c r="H702" s="93"/>
      <c r="T702"/>
      <c r="U702"/>
      <c r="V702"/>
      <c r="W702"/>
      <c r="X702"/>
      <c r="Y702"/>
      <c r="Z702"/>
      <c r="AA702"/>
    </row>
    <row r="703" spans="1:27" s="17" customFormat="1" x14ac:dyDescent="0.35">
      <c r="A703" s="21"/>
      <c r="B703" s="21"/>
      <c r="D703" s="21"/>
      <c r="E703" s="21"/>
      <c r="H703" s="93"/>
      <c r="T703"/>
      <c r="U703"/>
      <c r="V703"/>
      <c r="W703"/>
      <c r="X703"/>
      <c r="Y703"/>
      <c r="Z703"/>
      <c r="AA703"/>
    </row>
    <row r="704" spans="1:27" s="17" customFormat="1" x14ac:dyDescent="0.35">
      <c r="A704" s="21"/>
      <c r="B704" s="21"/>
      <c r="D704" s="21"/>
      <c r="E704" s="21"/>
      <c r="H704" s="93"/>
      <c r="T704"/>
      <c r="U704"/>
      <c r="V704"/>
      <c r="W704"/>
      <c r="X704"/>
      <c r="Y704"/>
      <c r="Z704"/>
      <c r="AA704"/>
    </row>
    <row r="705" spans="1:27" s="17" customFormat="1" x14ac:dyDescent="0.35">
      <c r="A705" s="21"/>
      <c r="B705" s="21"/>
      <c r="D705" s="21"/>
      <c r="E705" s="21"/>
      <c r="H705" s="93"/>
      <c r="T705"/>
      <c r="U705"/>
      <c r="V705"/>
      <c r="W705"/>
      <c r="X705"/>
      <c r="Y705"/>
      <c r="Z705"/>
      <c r="AA705"/>
    </row>
    <row r="706" spans="1:27" s="17" customFormat="1" x14ac:dyDescent="0.35">
      <c r="A706" s="21"/>
      <c r="B706" s="21"/>
      <c r="D706" s="21"/>
      <c r="E706" s="21"/>
      <c r="H706" s="93"/>
      <c r="T706"/>
      <c r="U706"/>
      <c r="V706"/>
      <c r="W706"/>
      <c r="X706"/>
      <c r="Y706"/>
      <c r="Z706"/>
      <c r="AA706"/>
    </row>
    <row r="707" spans="1:27" s="17" customFormat="1" x14ac:dyDescent="0.35">
      <c r="A707" s="21"/>
      <c r="B707" s="21"/>
      <c r="D707" s="21"/>
      <c r="E707" s="21"/>
      <c r="H707" s="93"/>
      <c r="T707"/>
      <c r="U707"/>
      <c r="V707"/>
      <c r="W707"/>
      <c r="X707"/>
      <c r="Y707"/>
      <c r="Z707"/>
      <c r="AA707"/>
    </row>
    <row r="708" spans="1:27" s="17" customFormat="1" x14ac:dyDescent="0.35">
      <c r="A708" s="21"/>
      <c r="B708" s="21"/>
      <c r="D708" s="21"/>
      <c r="E708" s="21"/>
      <c r="H708" s="93"/>
      <c r="T708"/>
      <c r="U708"/>
      <c r="V708"/>
      <c r="W708"/>
      <c r="X708"/>
      <c r="Y708"/>
      <c r="Z708"/>
      <c r="AA708"/>
    </row>
    <row r="709" spans="1:27" s="17" customFormat="1" x14ac:dyDescent="0.35">
      <c r="A709" s="21"/>
      <c r="B709" s="21"/>
      <c r="D709" s="21"/>
      <c r="E709" s="21"/>
      <c r="H709" s="93"/>
      <c r="T709"/>
      <c r="U709"/>
      <c r="V709"/>
      <c r="W709"/>
      <c r="X709"/>
      <c r="Y709"/>
      <c r="Z709"/>
      <c r="AA709"/>
    </row>
    <row r="710" spans="1:27" s="17" customFormat="1" x14ac:dyDescent="0.35">
      <c r="A710" s="21"/>
      <c r="B710" s="21"/>
      <c r="D710" s="21"/>
      <c r="E710" s="21"/>
      <c r="H710" s="93"/>
      <c r="T710"/>
      <c r="U710"/>
      <c r="V710"/>
      <c r="W710"/>
      <c r="X710"/>
      <c r="Y710"/>
      <c r="Z710"/>
      <c r="AA710"/>
    </row>
    <row r="711" spans="1:27" s="17" customFormat="1" x14ac:dyDescent="0.35">
      <c r="A711" s="21"/>
      <c r="B711" s="21"/>
      <c r="D711" s="21"/>
      <c r="E711" s="21"/>
      <c r="H711" s="93"/>
      <c r="T711"/>
      <c r="U711"/>
      <c r="V711"/>
      <c r="W711"/>
      <c r="X711"/>
      <c r="Y711"/>
      <c r="Z711"/>
      <c r="AA711"/>
    </row>
    <row r="712" spans="1:27" s="17" customFormat="1" x14ac:dyDescent="0.35">
      <c r="A712" s="21"/>
      <c r="B712" s="21"/>
      <c r="D712" s="21"/>
      <c r="E712" s="21"/>
      <c r="H712" s="93"/>
      <c r="T712"/>
      <c r="U712"/>
      <c r="V712"/>
      <c r="W712"/>
      <c r="X712"/>
      <c r="Y712"/>
      <c r="Z712"/>
      <c r="AA712"/>
    </row>
    <row r="713" spans="1:27" s="17" customFormat="1" x14ac:dyDescent="0.35">
      <c r="A713" s="21"/>
      <c r="B713" s="21"/>
      <c r="D713" s="21"/>
      <c r="E713" s="21"/>
      <c r="H713" s="93"/>
      <c r="T713"/>
      <c r="U713"/>
      <c r="V713"/>
      <c r="W713"/>
      <c r="X713"/>
      <c r="Y713"/>
      <c r="Z713"/>
      <c r="AA713"/>
    </row>
    <row r="714" spans="1:27" s="17" customFormat="1" x14ac:dyDescent="0.35">
      <c r="A714" s="21"/>
      <c r="B714" s="21"/>
      <c r="D714" s="21"/>
      <c r="E714" s="21"/>
      <c r="H714" s="93"/>
      <c r="T714"/>
      <c r="U714"/>
      <c r="V714"/>
      <c r="W714"/>
      <c r="X714"/>
      <c r="Y714"/>
      <c r="Z714"/>
      <c r="AA714"/>
    </row>
    <row r="715" spans="1:27" s="17" customFormat="1" x14ac:dyDescent="0.35">
      <c r="A715" s="21"/>
      <c r="B715" s="21"/>
      <c r="D715" s="21"/>
      <c r="E715" s="21"/>
      <c r="H715" s="93"/>
      <c r="T715"/>
      <c r="U715"/>
      <c r="V715"/>
      <c r="W715"/>
      <c r="X715"/>
      <c r="Y715"/>
      <c r="Z715"/>
      <c r="AA715"/>
    </row>
    <row r="716" spans="1:27" s="17" customFormat="1" x14ac:dyDescent="0.35">
      <c r="A716" s="21"/>
      <c r="B716" s="21"/>
      <c r="D716" s="21"/>
      <c r="E716" s="21"/>
      <c r="H716" s="93"/>
      <c r="T716"/>
      <c r="U716"/>
      <c r="V716"/>
      <c r="W716"/>
      <c r="X716"/>
      <c r="Y716"/>
      <c r="Z716"/>
      <c r="AA716"/>
    </row>
    <row r="717" spans="1:27" s="17" customFormat="1" x14ac:dyDescent="0.35">
      <c r="A717" s="21"/>
      <c r="B717" s="21"/>
      <c r="D717" s="21"/>
      <c r="E717" s="21"/>
      <c r="H717" s="93"/>
      <c r="T717"/>
      <c r="U717"/>
      <c r="V717"/>
      <c r="W717"/>
      <c r="X717"/>
      <c r="Y717"/>
      <c r="Z717"/>
      <c r="AA717"/>
    </row>
    <row r="718" spans="1:27" s="17" customFormat="1" x14ac:dyDescent="0.35">
      <c r="A718" s="21"/>
      <c r="B718" s="21"/>
      <c r="D718" s="21"/>
      <c r="E718" s="21"/>
      <c r="H718" s="93"/>
      <c r="T718"/>
      <c r="U718"/>
      <c r="V718"/>
      <c r="W718"/>
      <c r="X718"/>
      <c r="Y718"/>
      <c r="Z718"/>
      <c r="AA718"/>
    </row>
    <row r="719" spans="1:27" s="17" customFormat="1" x14ac:dyDescent="0.35">
      <c r="A719" s="21"/>
      <c r="B719" s="21"/>
      <c r="D719" s="21"/>
      <c r="E719" s="21"/>
      <c r="H719" s="93"/>
      <c r="T719"/>
      <c r="U719"/>
      <c r="V719"/>
      <c r="W719"/>
      <c r="X719"/>
      <c r="Y719"/>
      <c r="Z719"/>
      <c r="AA719"/>
    </row>
    <row r="720" spans="1:27" s="17" customFormat="1" x14ac:dyDescent="0.35">
      <c r="A720" s="21"/>
      <c r="B720" s="21"/>
      <c r="D720" s="21"/>
      <c r="E720" s="21"/>
      <c r="H720" s="93"/>
      <c r="T720"/>
      <c r="U720"/>
      <c r="V720"/>
      <c r="W720"/>
      <c r="X720"/>
      <c r="Y720"/>
      <c r="Z720"/>
      <c r="AA720"/>
    </row>
    <row r="721" spans="1:27" s="17" customFormat="1" x14ac:dyDescent="0.35">
      <c r="A721" s="21"/>
      <c r="B721" s="21"/>
      <c r="D721" s="21"/>
      <c r="E721" s="21"/>
      <c r="H721" s="93"/>
      <c r="T721"/>
      <c r="U721"/>
      <c r="V721"/>
      <c r="W721"/>
      <c r="X721"/>
      <c r="Y721"/>
      <c r="Z721"/>
      <c r="AA721"/>
    </row>
    <row r="722" spans="1:27" s="17" customFormat="1" x14ac:dyDescent="0.35">
      <c r="A722" s="21"/>
      <c r="B722" s="21"/>
      <c r="D722" s="21"/>
      <c r="E722" s="21"/>
      <c r="H722" s="93"/>
      <c r="T722"/>
      <c r="U722"/>
      <c r="V722"/>
      <c r="W722"/>
      <c r="X722"/>
      <c r="Y722"/>
      <c r="Z722"/>
      <c r="AA722"/>
    </row>
    <row r="723" spans="1:27" s="17" customFormat="1" x14ac:dyDescent="0.35">
      <c r="A723" s="21"/>
      <c r="B723" s="21"/>
      <c r="D723" s="21"/>
      <c r="E723" s="21"/>
      <c r="H723" s="93"/>
      <c r="T723"/>
      <c r="U723"/>
      <c r="V723"/>
      <c r="W723"/>
      <c r="X723"/>
      <c r="Y723"/>
      <c r="Z723"/>
      <c r="AA723"/>
    </row>
    <row r="724" spans="1:27" s="17" customFormat="1" x14ac:dyDescent="0.35">
      <c r="A724" s="21"/>
      <c r="B724" s="21"/>
      <c r="D724" s="21"/>
      <c r="E724" s="21"/>
      <c r="H724" s="93"/>
      <c r="T724"/>
      <c r="U724"/>
      <c r="V724"/>
      <c r="W724"/>
      <c r="X724"/>
      <c r="Y724"/>
      <c r="Z724"/>
      <c r="AA724"/>
    </row>
    <row r="725" spans="1:27" s="17" customFormat="1" x14ac:dyDescent="0.35">
      <c r="A725" s="21"/>
      <c r="B725" s="21"/>
      <c r="D725" s="21"/>
      <c r="E725" s="21"/>
      <c r="H725" s="93"/>
      <c r="T725"/>
      <c r="U725"/>
      <c r="V725"/>
      <c r="W725"/>
      <c r="X725"/>
      <c r="Y725"/>
      <c r="Z725"/>
      <c r="AA725"/>
    </row>
    <row r="726" spans="1:27" s="17" customFormat="1" x14ac:dyDescent="0.35">
      <c r="A726" s="21"/>
      <c r="B726" s="21"/>
      <c r="D726" s="21"/>
      <c r="E726" s="21"/>
      <c r="H726" s="93"/>
      <c r="T726"/>
      <c r="U726"/>
      <c r="V726"/>
      <c r="W726"/>
      <c r="X726"/>
      <c r="Y726"/>
      <c r="Z726"/>
      <c r="AA726"/>
    </row>
    <row r="727" spans="1:27" s="17" customFormat="1" x14ac:dyDescent="0.35">
      <c r="A727" s="21"/>
      <c r="B727" s="21"/>
      <c r="D727" s="21"/>
      <c r="E727" s="21"/>
      <c r="H727" s="93"/>
      <c r="T727"/>
      <c r="U727"/>
      <c r="V727"/>
      <c r="W727"/>
      <c r="X727"/>
      <c r="Y727"/>
      <c r="Z727"/>
      <c r="AA727"/>
    </row>
    <row r="728" spans="1:27" s="17" customFormat="1" x14ac:dyDescent="0.35">
      <c r="A728" s="21"/>
      <c r="B728" s="21"/>
      <c r="D728" s="21"/>
      <c r="E728" s="21"/>
      <c r="H728" s="93"/>
      <c r="T728"/>
      <c r="U728"/>
      <c r="V728"/>
      <c r="W728"/>
      <c r="X728"/>
      <c r="Y728"/>
      <c r="Z728"/>
      <c r="AA728"/>
    </row>
    <row r="729" spans="1:27" s="17" customFormat="1" x14ac:dyDescent="0.35">
      <c r="A729" s="21"/>
      <c r="B729" s="21"/>
      <c r="D729" s="21"/>
      <c r="E729" s="21"/>
      <c r="H729" s="93"/>
      <c r="T729"/>
      <c r="U729"/>
      <c r="V729"/>
      <c r="W729"/>
      <c r="X729"/>
      <c r="Y729"/>
      <c r="Z729"/>
      <c r="AA729"/>
    </row>
    <row r="730" spans="1:27" s="17" customFormat="1" x14ac:dyDescent="0.35">
      <c r="A730" s="21"/>
      <c r="B730" s="21"/>
      <c r="D730" s="21"/>
      <c r="E730" s="21"/>
      <c r="H730" s="93"/>
      <c r="T730"/>
      <c r="U730"/>
      <c r="V730"/>
      <c r="W730"/>
      <c r="X730"/>
      <c r="Y730"/>
      <c r="Z730"/>
      <c r="AA730"/>
    </row>
    <row r="731" spans="1:27" s="17" customFormat="1" x14ac:dyDescent="0.35">
      <c r="A731" s="21"/>
      <c r="B731" s="21"/>
      <c r="D731" s="21"/>
      <c r="E731" s="21"/>
      <c r="H731" s="93"/>
      <c r="T731"/>
      <c r="U731"/>
      <c r="V731"/>
      <c r="W731"/>
      <c r="X731"/>
      <c r="Y731"/>
      <c r="Z731"/>
      <c r="AA731"/>
    </row>
    <row r="732" spans="1:27" s="17" customFormat="1" x14ac:dyDescent="0.35">
      <c r="A732" s="21"/>
      <c r="B732" s="21"/>
      <c r="D732" s="21"/>
      <c r="E732" s="21"/>
      <c r="H732" s="93"/>
      <c r="T732"/>
      <c r="U732"/>
      <c r="V732"/>
      <c r="W732"/>
      <c r="X732"/>
      <c r="Y732"/>
      <c r="Z732"/>
      <c r="AA732"/>
    </row>
    <row r="733" spans="1:27" s="17" customFormat="1" x14ac:dyDescent="0.35">
      <c r="A733" s="21"/>
      <c r="B733" s="21"/>
      <c r="D733" s="21"/>
      <c r="E733" s="21"/>
      <c r="H733" s="93"/>
      <c r="T733"/>
      <c r="U733"/>
      <c r="V733"/>
      <c r="W733"/>
      <c r="X733"/>
      <c r="Y733"/>
      <c r="Z733"/>
      <c r="AA733"/>
    </row>
    <row r="734" spans="1:27" s="17" customFormat="1" x14ac:dyDescent="0.35">
      <c r="A734" s="21"/>
      <c r="B734" s="21"/>
      <c r="D734" s="21"/>
      <c r="E734" s="21"/>
      <c r="H734" s="93"/>
      <c r="T734"/>
      <c r="U734"/>
      <c r="V734"/>
      <c r="W734"/>
      <c r="X734"/>
      <c r="Y734"/>
      <c r="Z734"/>
      <c r="AA734"/>
    </row>
    <row r="735" spans="1:27" s="17" customFormat="1" x14ac:dyDescent="0.35">
      <c r="A735" s="21"/>
      <c r="B735" s="21"/>
      <c r="D735" s="21"/>
      <c r="E735" s="21"/>
      <c r="H735" s="93"/>
      <c r="T735"/>
      <c r="U735"/>
      <c r="V735"/>
      <c r="W735"/>
      <c r="X735"/>
      <c r="Y735"/>
      <c r="Z735"/>
      <c r="AA735"/>
    </row>
    <row r="736" spans="1:27" s="17" customFormat="1" x14ac:dyDescent="0.35">
      <c r="A736" s="21"/>
      <c r="B736" s="21"/>
      <c r="D736" s="21"/>
      <c r="E736" s="21"/>
      <c r="H736" s="93"/>
      <c r="T736"/>
      <c r="U736"/>
      <c r="V736"/>
      <c r="W736"/>
      <c r="X736"/>
      <c r="Y736"/>
      <c r="Z736"/>
      <c r="AA736"/>
    </row>
    <row r="737" spans="1:27" s="17" customFormat="1" x14ac:dyDescent="0.35">
      <c r="A737" s="21"/>
      <c r="B737" s="21"/>
      <c r="D737" s="21"/>
      <c r="E737" s="21"/>
      <c r="H737" s="93"/>
      <c r="T737"/>
      <c r="U737"/>
      <c r="V737"/>
      <c r="W737"/>
      <c r="X737"/>
      <c r="Y737"/>
      <c r="Z737"/>
      <c r="AA737"/>
    </row>
    <row r="738" spans="1:27" s="17" customFormat="1" x14ac:dyDescent="0.35">
      <c r="A738" s="21"/>
      <c r="B738" s="21"/>
      <c r="D738" s="21"/>
      <c r="E738" s="21"/>
      <c r="H738" s="93"/>
      <c r="T738"/>
      <c r="U738"/>
      <c r="V738"/>
      <c r="W738"/>
      <c r="X738"/>
      <c r="Y738"/>
      <c r="Z738"/>
      <c r="AA738"/>
    </row>
    <row r="739" spans="1:27" s="17" customFormat="1" x14ac:dyDescent="0.35">
      <c r="A739" s="21"/>
      <c r="B739" s="21"/>
      <c r="D739" s="21"/>
      <c r="E739" s="21"/>
      <c r="H739" s="93"/>
      <c r="T739"/>
      <c r="U739"/>
      <c r="V739"/>
      <c r="W739"/>
      <c r="X739"/>
      <c r="Y739"/>
      <c r="Z739"/>
      <c r="AA739"/>
    </row>
    <row r="740" spans="1:27" s="17" customFormat="1" x14ac:dyDescent="0.35">
      <c r="A740" s="21"/>
      <c r="B740" s="21"/>
      <c r="D740" s="21"/>
      <c r="E740" s="21"/>
      <c r="H740" s="93"/>
      <c r="T740"/>
      <c r="U740"/>
      <c r="V740"/>
      <c r="W740"/>
      <c r="X740"/>
      <c r="Y740"/>
      <c r="Z740"/>
      <c r="AA740"/>
    </row>
    <row r="741" spans="1:27" s="17" customFormat="1" x14ac:dyDescent="0.35">
      <c r="A741" s="21"/>
      <c r="B741" s="21"/>
      <c r="D741" s="21"/>
      <c r="E741" s="21"/>
      <c r="H741" s="93"/>
      <c r="T741"/>
      <c r="U741"/>
      <c r="V741"/>
      <c r="W741"/>
      <c r="X741"/>
      <c r="Y741"/>
      <c r="Z741"/>
      <c r="AA741"/>
    </row>
    <row r="742" spans="1:27" s="17" customFormat="1" x14ac:dyDescent="0.35">
      <c r="A742" s="21"/>
      <c r="B742" s="21"/>
      <c r="D742" s="21"/>
      <c r="E742" s="21"/>
      <c r="H742" s="93"/>
      <c r="T742"/>
      <c r="U742"/>
      <c r="V742"/>
      <c r="W742"/>
      <c r="X742"/>
      <c r="Y742"/>
      <c r="Z742"/>
      <c r="AA742"/>
    </row>
    <row r="743" spans="1:27" s="17" customFormat="1" x14ac:dyDescent="0.35">
      <c r="A743" s="21"/>
      <c r="B743" s="21"/>
      <c r="D743" s="21"/>
      <c r="E743" s="21"/>
      <c r="H743" s="93"/>
      <c r="T743"/>
      <c r="U743"/>
      <c r="V743"/>
      <c r="W743"/>
      <c r="X743"/>
      <c r="Y743"/>
      <c r="Z743"/>
      <c r="AA743"/>
    </row>
    <row r="744" spans="1:27" s="17" customFormat="1" x14ac:dyDescent="0.35">
      <c r="A744" s="21"/>
      <c r="B744" s="21"/>
      <c r="D744" s="21"/>
      <c r="E744" s="21"/>
      <c r="H744" s="93"/>
      <c r="T744"/>
      <c r="U744"/>
      <c r="V744"/>
      <c r="W744"/>
      <c r="X744"/>
      <c r="Y744"/>
      <c r="Z744"/>
      <c r="AA744"/>
    </row>
    <row r="745" spans="1:27" s="17" customFormat="1" x14ac:dyDescent="0.35">
      <c r="A745" s="21"/>
      <c r="B745" s="21"/>
      <c r="D745" s="21"/>
      <c r="E745" s="21"/>
      <c r="H745" s="93"/>
      <c r="T745"/>
      <c r="U745"/>
      <c r="V745"/>
      <c r="W745"/>
      <c r="X745"/>
      <c r="Y745"/>
      <c r="Z745"/>
      <c r="AA745"/>
    </row>
    <row r="746" spans="1:27" s="17" customFormat="1" x14ac:dyDescent="0.35">
      <c r="A746" s="21"/>
      <c r="B746" s="21"/>
      <c r="D746" s="21"/>
      <c r="E746" s="21"/>
      <c r="H746" s="93"/>
      <c r="T746"/>
      <c r="U746"/>
      <c r="V746"/>
      <c r="W746"/>
      <c r="X746"/>
      <c r="Y746"/>
      <c r="Z746"/>
      <c r="AA746"/>
    </row>
    <row r="747" spans="1:27" s="17" customFormat="1" x14ac:dyDescent="0.35">
      <c r="A747" s="21"/>
      <c r="B747" s="21"/>
      <c r="D747" s="21"/>
      <c r="E747" s="21"/>
      <c r="H747" s="93"/>
      <c r="T747"/>
      <c r="U747"/>
      <c r="V747"/>
      <c r="W747"/>
      <c r="X747"/>
      <c r="Y747"/>
      <c r="Z747"/>
      <c r="AA747"/>
    </row>
    <row r="748" spans="1:27" s="17" customFormat="1" x14ac:dyDescent="0.35">
      <c r="A748" s="21"/>
      <c r="B748" s="21"/>
      <c r="D748" s="21"/>
      <c r="E748" s="21"/>
      <c r="H748" s="93"/>
      <c r="T748"/>
      <c r="U748"/>
      <c r="V748"/>
      <c r="W748"/>
      <c r="X748"/>
      <c r="Y748"/>
      <c r="Z748"/>
      <c r="AA748"/>
    </row>
    <row r="749" spans="1:27" s="17" customFormat="1" x14ac:dyDescent="0.35">
      <c r="A749" s="21"/>
      <c r="B749" s="21"/>
      <c r="D749" s="21"/>
      <c r="E749" s="21"/>
      <c r="H749" s="93"/>
      <c r="T749"/>
      <c r="U749"/>
      <c r="V749"/>
      <c r="W749"/>
      <c r="X749"/>
      <c r="Y749"/>
      <c r="Z749"/>
      <c r="AA749"/>
    </row>
    <row r="750" spans="1:27" s="17" customFormat="1" x14ac:dyDescent="0.35">
      <c r="A750" s="21"/>
      <c r="B750" s="21"/>
      <c r="D750" s="21"/>
      <c r="E750" s="21"/>
      <c r="H750" s="93"/>
      <c r="T750"/>
      <c r="U750"/>
      <c r="V750"/>
      <c r="W750"/>
      <c r="X750"/>
      <c r="Y750"/>
      <c r="Z750"/>
      <c r="AA750"/>
    </row>
    <row r="751" spans="1:27" s="17" customFormat="1" x14ac:dyDescent="0.35">
      <c r="A751" s="21"/>
      <c r="B751" s="21"/>
      <c r="D751" s="21"/>
      <c r="E751" s="21"/>
      <c r="H751" s="93"/>
      <c r="T751"/>
      <c r="U751"/>
      <c r="V751"/>
      <c r="W751"/>
      <c r="X751"/>
      <c r="Y751"/>
      <c r="Z751"/>
      <c r="AA751"/>
    </row>
    <row r="752" spans="1:27" s="17" customFormat="1" x14ac:dyDescent="0.35">
      <c r="A752" s="21"/>
      <c r="B752" s="21"/>
      <c r="D752" s="21"/>
      <c r="E752" s="21"/>
      <c r="H752" s="93"/>
      <c r="T752"/>
      <c r="U752"/>
      <c r="V752"/>
      <c r="W752"/>
      <c r="X752"/>
      <c r="Y752"/>
      <c r="Z752"/>
      <c r="AA752"/>
    </row>
    <row r="753" spans="1:27" s="17" customFormat="1" x14ac:dyDescent="0.35">
      <c r="A753" s="21"/>
      <c r="B753" s="21"/>
      <c r="D753" s="21"/>
      <c r="E753" s="21"/>
      <c r="H753" s="93"/>
      <c r="T753"/>
      <c r="U753"/>
      <c r="V753"/>
      <c r="W753"/>
      <c r="X753"/>
      <c r="Y753"/>
      <c r="Z753"/>
      <c r="AA753"/>
    </row>
    <row r="754" spans="1:27" s="17" customFormat="1" x14ac:dyDescent="0.35">
      <c r="A754" s="21"/>
      <c r="B754" s="21"/>
      <c r="D754" s="21"/>
      <c r="E754" s="21"/>
      <c r="H754" s="93"/>
      <c r="T754"/>
      <c r="U754"/>
      <c r="V754"/>
      <c r="W754"/>
      <c r="X754"/>
      <c r="Y754"/>
      <c r="Z754"/>
      <c r="AA754"/>
    </row>
    <row r="755" spans="1:27" s="17" customFormat="1" x14ac:dyDescent="0.35">
      <c r="A755" s="21"/>
      <c r="B755" s="21"/>
      <c r="D755" s="21"/>
      <c r="E755" s="21"/>
      <c r="H755" s="93"/>
      <c r="T755"/>
      <c r="U755"/>
      <c r="V755"/>
      <c r="W755"/>
      <c r="X755"/>
      <c r="Y755"/>
      <c r="Z755"/>
      <c r="AA755"/>
    </row>
    <row r="756" spans="1:27" s="17" customFormat="1" x14ac:dyDescent="0.35">
      <c r="A756" s="21"/>
      <c r="B756" s="21"/>
      <c r="D756" s="21"/>
      <c r="E756" s="21"/>
      <c r="H756" s="93"/>
      <c r="T756"/>
      <c r="U756"/>
      <c r="V756"/>
      <c r="W756"/>
      <c r="X756"/>
      <c r="Y756"/>
      <c r="Z756"/>
      <c r="AA756"/>
    </row>
    <row r="757" spans="1:27" s="17" customFormat="1" x14ac:dyDescent="0.35">
      <c r="A757" s="21"/>
      <c r="B757" s="21"/>
      <c r="D757" s="21"/>
      <c r="E757" s="21"/>
      <c r="H757" s="93"/>
      <c r="T757"/>
      <c r="U757"/>
      <c r="V757"/>
      <c r="W757"/>
      <c r="X757"/>
      <c r="Y757"/>
      <c r="Z757"/>
      <c r="AA757"/>
    </row>
    <row r="758" spans="1:27" s="17" customFormat="1" x14ac:dyDescent="0.35">
      <c r="A758" s="21"/>
      <c r="B758" s="21"/>
      <c r="D758" s="21"/>
      <c r="E758" s="21"/>
      <c r="H758" s="93"/>
      <c r="T758"/>
      <c r="U758"/>
      <c r="V758"/>
      <c r="W758"/>
      <c r="X758"/>
      <c r="Y758"/>
      <c r="Z758"/>
      <c r="AA758"/>
    </row>
    <row r="759" spans="1:27" s="17" customFormat="1" x14ac:dyDescent="0.35">
      <c r="A759" s="21"/>
      <c r="B759" s="21"/>
      <c r="D759" s="21"/>
      <c r="E759" s="21"/>
      <c r="H759" s="93"/>
      <c r="T759"/>
      <c r="U759"/>
      <c r="V759"/>
      <c r="W759"/>
      <c r="X759"/>
      <c r="Y759"/>
      <c r="Z759"/>
      <c r="AA759"/>
    </row>
    <row r="760" spans="1:27" s="17" customFormat="1" x14ac:dyDescent="0.35">
      <c r="A760" s="21"/>
      <c r="B760" s="21"/>
      <c r="D760" s="21"/>
      <c r="E760" s="21"/>
      <c r="H760" s="93"/>
      <c r="T760"/>
      <c r="U760"/>
      <c r="V760"/>
      <c r="W760"/>
      <c r="X760"/>
      <c r="Y760"/>
      <c r="Z760"/>
      <c r="AA760"/>
    </row>
    <row r="761" spans="1:27" s="17" customFormat="1" x14ac:dyDescent="0.35">
      <c r="A761" s="21"/>
      <c r="B761" s="21"/>
      <c r="D761" s="21"/>
      <c r="E761" s="21"/>
      <c r="H761" s="93"/>
      <c r="T761"/>
      <c r="U761"/>
      <c r="V761"/>
      <c r="W761"/>
      <c r="X761"/>
      <c r="Y761"/>
      <c r="Z761"/>
      <c r="AA761"/>
    </row>
    <row r="762" spans="1:27" s="17" customFormat="1" x14ac:dyDescent="0.35">
      <c r="A762" s="21"/>
      <c r="B762" s="21"/>
      <c r="D762" s="21"/>
      <c r="E762" s="21"/>
      <c r="H762" s="93"/>
      <c r="T762"/>
      <c r="U762"/>
      <c r="V762"/>
      <c r="W762"/>
      <c r="X762"/>
      <c r="Y762"/>
      <c r="Z762"/>
      <c r="AA762"/>
    </row>
    <row r="763" spans="1:27" s="17" customFormat="1" x14ac:dyDescent="0.35">
      <c r="A763" s="21"/>
      <c r="B763" s="21"/>
      <c r="D763" s="21"/>
      <c r="E763" s="21"/>
      <c r="H763" s="93"/>
      <c r="T763"/>
      <c r="U763"/>
      <c r="V763"/>
      <c r="W763"/>
      <c r="X763"/>
      <c r="Y763"/>
      <c r="Z763"/>
      <c r="AA763"/>
    </row>
    <row r="764" spans="1:27" s="17" customFormat="1" x14ac:dyDescent="0.35">
      <c r="A764" s="21"/>
      <c r="B764" s="21"/>
      <c r="D764" s="21"/>
      <c r="E764" s="21"/>
      <c r="H764" s="93"/>
      <c r="T764"/>
      <c r="U764"/>
      <c r="V764"/>
      <c r="W764"/>
      <c r="X764"/>
      <c r="Y764"/>
      <c r="Z764"/>
      <c r="AA764"/>
    </row>
    <row r="765" spans="1:27" s="17" customFormat="1" x14ac:dyDescent="0.35">
      <c r="A765" s="21"/>
      <c r="B765" s="21"/>
      <c r="D765" s="21"/>
      <c r="E765" s="21"/>
      <c r="H765" s="93"/>
      <c r="T765"/>
      <c r="U765"/>
      <c r="V765"/>
      <c r="W765"/>
      <c r="X765"/>
      <c r="Y765"/>
      <c r="Z765"/>
      <c r="AA765"/>
    </row>
    <row r="766" spans="1:27" s="17" customFormat="1" x14ac:dyDescent="0.35">
      <c r="A766" s="21"/>
      <c r="B766" s="21"/>
      <c r="D766" s="21"/>
      <c r="E766" s="21"/>
      <c r="H766" s="93"/>
      <c r="T766"/>
      <c r="U766"/>
      <c r="V766"/>
      <c r="W766"/>
      <c r="X766"/>
      <c r="Y766"/>
      <c r="Z766"/>
      <c r="AA766"/>
    </row>
    <row r="767" spans="1:27" s="17" customFormat="1" x14ac:dyDescent="0.35">
      <c r="A767" s="21"/>
      <c r="B767" s="21"/>
      <c r="D767" s="21"/>
      <c r="E767" s="21"/>
      <c r="H767" s="93"/>
      <c r="T767"/>
      <c r="U767"/>
      <c r="V767"/>
      <c r="W767"/>
      <c r="X767"/>
      <c r="Y767"/>
      <c r="Z767"/>
      <c r="AA767"/>
    </row>
    <row r="768" spans="1:27" s="17" customFormat="1" x14ac:dyDescent="0.35">
      <c r="A768" s="21"/>
      <c r="B768" s="21"/>
      <c r="D768" s="21"/>
      <c r="E768" s="21"/>
      <c r="H768" s="93"/>
      <c r="T768"/>
      <c r="U768"/>
      <c r="V768"/>
      <c r="W768"/>
      <c r="X768"/>
      <c r="Y768"/>
      <c r="Z768"/>
      <c r="AA768"/>
    </row>
    <row r="769" spans="1:27" s="17" customFormat="1" x14ac:dyDescent="0.35">
      <c r="A769" s="21"/>
      <c r="B769" s="21"/>
      <c r="D769" s="21"/>
      <c r="E769" s="21"/>
      <c r="H769" s="93"/>
      <c r="T769"/>
      <c r="U769"/>
      <c r="V769"/>
      <c r="W769"/>
      <c r="X769"/>
      <c r="Y769"/>
      <c r="Z769"/>
      <c r="AA769"/>
    </row>
    <row r="770" spans="1:27" s="17" customFormat="1" x14ac:dyDescent="0.35">
      <c r="A770" s="21"/>
      <c r="B770" s="21"/>
      <c r="D770" s="21"/>
      <c r="E770" s="21"/>
      <c r="H770" s="93"/>
      <c r="T770"/>
      <c r="U770"/>
      <c r="V770"/>
      <c r="W770"/>
      <c r="X770"/>
      <c r="Y770"/>
      <c r="Z770"/>
      <c r="AA770"/>
    </row>
    <row r="771" spans="1:27" s="17" customFormat="1" x14ac:dyDescent="0.35">
      <c r="A771" s="21"/>
      <c r="B771" s="21"/>
      <c r="D771" s="21"/>
      <c r="E771" s="21"/>
      <c r="H771" s="93"/>
      <c r="T771"/>
      <c r="U771"/>
      <c r="V771"/>
      <c r="W771"/>
      <c r="X771"/>
      <c r="Y771"/>
      <c r="Z771"/>
      <c r="AA771"/>
    </row>
    <row r="772" spans="1:27" s="17" customFormat="1" x14ac:dyDescent="0.35">
      <c r="A772" s="21"/>
      <c r="B772" s="21"/>
      <c r="D772" s="21"/>
      <c r="E772" s="21"/>
      <c r="H772" s="93"/>
      <c r="T772"/>
      <c r="U772"/>
      <c r="V772"/>
      <c r="W772"/>
      <c r="X772"/>
      <c r="Y772"/>
      <c r="Z772"/>
      <c r="AA772"/>
    </row>
    <row r="773" spans="1:27" s="17" customFormat="1" x14ac:dyDescent="0.35">
      <c r="A773" s="21"/>
      <c r="B773" s="21"/>
      <c r="D773" s="21"/>
      <c r="E773" s="21"/>
      <c r="H773" s="93"/>
      <c r="T773"/>
      <c r="U773"/>
      <c r="V773"/>
      <c r="W773"/>
      <c r="X773"/>
      <c r="Y773"/>
      <c r="Z773"/>
      <c r="AA773"/>
    </row>
    <row r="774" spans="1:27" s="17" customFormat="1" x14ac:dyDescent="0.35">
      <c r="A774" s="21"/>
      <c r="B774" s="21"/>
      <c r="D774" s="21"/>
      <c r="E774" s="21"/>
      <c r="H774" s="93"/>
      <c r="T774"/>
      <c r="U774"/>
      <c r="V774"/>
      <c r="W774"/>
      <c r="X774"/>
      <c r="Y774"/>
      <c r="Z774"/>
      <c r="AA774"/>
    </row>
    <row r="775" spans="1:27" s="17" customFormat="1" x14ac:dyDescent="0.35">
      <c r="A775" s="21"/>
      <c r="B775" s="21"/>
      <c r="D775" s="21"/>
      <c r="E775" s="21"/>
      <c r="H775" s="93"/>
      <c r="T775"/>
      <c r="U775"/>
      <c r="V775"/>
      <c r="W775"/>
      <c r="X775"/>
      <c r="Y775"/>
      <c r="Z775"/>
      <c r="AA775"/>
    </row>
    <row r="776" spans="1:27" s="17" customFormat="1" x14ac:dyDescent="0.35">
      <c r="A776" s="21"/>
      <c r="B776" s="21"/>
      <c r="D776" s="21"/>
      <c r="E776" s="21"/>
      <c r="H776" s="93"/>
      <c r="T776"/>
      <c r="U776"/>
      <c r="V776"/>
      <c r="W776"/>
      <c r="X776"/>
      <c r="Y776"/>
      <c r="Z776"/>
      <c r="AA776"/>
    </row>
    <row r="777" spans="1:27" s="17" customFormat="1" x14ac:dyDescent="0.35">
      <c r="A777" s="21"/>
      <c r="B777" s="21"/>
      <c r="D777" s="21"/>
      <c r="E777" s="21"/>
      <c r="H777" s="93"/>
      <c r="T777"/>
      <c r="U777"/>
      <c r="V777"/>
      <c r="W777"/>
      <c r="X777"/>
      <c r="Y777"/>
      <c r="Z777"/>
      <c r="AA777"/>
    </row>
    <row r="778" spans="1:27" s="17" customFormat="1" x14ac:dyDescent="0.35">
      <c r="A778" s="21"/>
      <c r="B778" s="21"/>
      <c r="D778" s="21"/>
      <c r="E778" s="21"/>
      <c r="H778" s="93"/>
      <c r="T778"/>
      <c r="U778"/>
      <c r="V778"/>
      <c r="W778"/>
      <c r="X778"/>
      <c r="Y778"/>
      <c r="Z778"/>
      <c r="AA778"/>
    </row>
    <row r="779" spans="1:27" s="17" customFormat="1" x14ac:dyDescent="0.35">
      <c r="A779" s="21"/>
      <c r="B779" s="21"/>
      <c r="D779" s="21"/>
      <c r="E779" s="21"/>
      <c r="H779" s="93"/>
      <c r="T779"/>
      <c r="U779"/>
      <c r="V779"/>
      <c r="W779"/>
      <c r="X779"/>
      <c r="Y779"/>
      <c r="Z779"/>
      <c r="AA779"/>
    </row>
    <row r="780" spans="1:27" s="17" customFormat="1" x14ac:dyDescent="0.35">
      <c r="A780" s="21"/>
      <c r="B780" s="21"/>
      <c r="D780" s="21"/>
      <c r="E780" s="21"/>
      <c r="H780" s="93"/>
      <c r="T780"/>
      <c r="U780"/>
      <c r="V780"/>
      <c r="W780"/>
      <c r="X780"/>
      <c r="Y780"/>
      <c r="Z780"/>
      <c r="AA780"/>
    </row>
    <row r="781" spans="1:27" s="17" customFormat="1" x14ac:dyDescent="0.35">
      <c r="A781" s="21"/>
      <c r="B781" s="21"/>
      <c r="D781" s="21"/>
      <c r="E781" s="21"/>
      <c r="H781" s="93"/>
      <c r="T781"/>
      <c r="U781"/>
      <c r="V781"/>
      <c r="W781"/>
      <c r="X781"/>
      <c r="Y781"/>
      <c r="Z781"/>
      <c r="AA781"/>
    </row>
    <row r="782" spans="1:27" s="17" customFormat="1" x14ac:dyDescent="0.35">
      <c r="A782" s="21"/>
      <c r="B782" s="21"/>
      <c r="D782" s="21"/>
      <c r="E782" s="21"/>
      <c r="H782" s="93"/>
      <c r="T782"/>
      <c r="U782"/>
      <c r="V782"/>
      <c r="W782"/>
      <c r="X782"/>
      <c r="Y782"/>
      <c r="Z782"/>
      <c r="AA782"/>
    </row>
    <row r="783" spans="1:27" s="17" customFormat="1" x14ac:dyDescent="0.35">
      <c r="A783" s="21"/>
      <c r="B783" s="21"/>
      <c r="D783" s="21"/>
      <c r="E783" s="21"/>
      <c r="H783" s="93"/>
      <c r="T783"/>
      <c r="U783"/>
      <c r="V783"/>
      <c r="W783"/>
      <c r="X783"/>
      <c r="Y783"/>
      <c r="Z783"/>
      <c r="AA783"/>
    </row>
    <row r="784" spans="1:27" s="17" customFormat="1" x14ac:dyDescent="0.35">
      <c r="A784" s="21"/>
      <c r="B784" s="21"/>
      <c r="D784" s="21"/>
      <c r="E784" s="21"/>
      <c r="H784" s="93"/>
      <c r="T784"/>
      <c r="U784"/>
      <c r="V784"/>
      <c r="W784"/>
      <c r="X784"/>
      <c r="Y784"/>
      <c r="Z784"/>
      <c r="AA784"/>
    </row>
    <row r="785" spans="1:27" s="17" customFormat="1" x14ac:dyDescent="0.35">
      <c r="A785" s="21"/>
      <c r="B785" s="21"/>
      <c r="D785" s="21"/>
      <c r="E785" s="21"/>
      <c r="H785" s="93"/>
      <c r="T785"/>
      <c r="U785"/>
      <c r="V785"/>
      <c r="W785"/>
      <c r="X785"/>
      <c r="Y785"/>
      <c r="Z785"/>
      <c r="AA785"/>
    </row>
    <row r="786" spans="1:27" s="17" customFormat="1" x14ac:dyDescent="0.35">
      <c r="A786" s="21"/>
      <c r="B786" s="21"/>
      <c r="D786" s="21"/>
      <c r="E786" s="21"/>
      <c r="H786" s="93"/>
      <c r="T786"/>
      <c r="U786"/>
      <c r="V786"/>
      <c r="W786"/>
      <c r="X786"/>
      <c r="Y786"/>
      <c r="Z786"/>
      <c r="AA786"/>
    </row>
    <row r="787" spans="1:27" s="17" customFormat="1" x14ac:dyDescent="0.35">
      <c r="A787" s="21"/>
      <c r="B787" s="21"/>
      <c r="D787" s="21"/>
      <c r="E787" s="21"/>
      <c r="H787" s="93"/>
      <c r="T787"/>
      <c r="U787"/>
      <c r="V787"/>
      <c r="W787"/>
      <c r="X787"/>
      <c r="Y787"/>
      <c r="Z787"/>
      <c r="AA787"/>
    </row>
    <row r="788" spans="1:27" s="17" customFormat="1" x14ac:dyDescent="0.35">
      <c r="A788" s="21"/>
      <c r="B788" s="21"/>
      <c r="D788" s="21"/>
      <c r="E788" s="21"/>
      <c r="H788" s="93"/>
      <c r="T788"/>
      <c r="U788"/>
      <c r="V788"/>
      <c r="W788"/>
      <c r="X788"/>
      <c r="Y788"/>
      <c r="Z788"/>
      <c r="AA788"/>
    </row>
    <row r="789" spans="1:27" s="17" customFormat="1" x14ac:dyDescent="0.35">
      <c r="A789" s="21"/>
      <c r="B789" s="21"/>
      <c r="D789" s="21"/>
      <c r="E789" s="21"/>
      <c r="H789" s="93"/>
      <c r="T789"/>
      <c r="U789"/>
      <c r="V789"/>
      <c r="W789"/>
      <c r="X789"/>
      <c r="Y789"/>
      <c r="Z789"/>
      <c r="AA789"/>
    </row>
    <row r="790" spans="1:27" s="17" customFormat="1" x14ac:dyDescent="0.35">
      <c r="A790" s="21"/>
      <c r="B790" s="21"/>
      <c r="D790" s="21"/>
      <c r="E790" s="21"/>
      <c r="H790" s="93"/>
      <c r="T790"/>
      <c r="U790"/>
      <c r="V790"/>
      <c r="W790"/>
      <c r="X790"/>
      <c r="Y790"/>
      <c r="Z790"/>
      <c r="AA790"/>
    </row>
    <row r="791" spans="1:27" s="17" customFormat="1" x14ac:dyDescent="0.35">
      <c r="A791" s="21"/>
      <c r="B791" s="21"/>
      <c r="D791" s="21"/>
      <c r="E791" s="21"/>
      <c r="H791" s="93"/>
      <c r="T791"/>
      <c r="U791"/>
      <c r="V791"/>
      <c r="W791"/>
      <c r="X791"/>
      <c r="Y791"/>
      <c r="Z791"/>
      <c r="AA791"/>
    </row>
    <row r="792" spans="1:27" s="17" customFormat="1" x14ac:dyDescent="0.35">
      <c r="A792" s="21"/>
      <c r="B792" s="21"/>
      <c r="D792" s="21"/>
      <c r="E792" s="21"/>
      <c r="H792" s="93"/>
      <c r="T792"/>
      <c r="U792"/>
      <c r="V792"/>
      <c r="W792"/>
      <c r="X792"/>
      <c r="Y792"/>
      <c r="Z792"/>
      <c r="AA792"/>
    </row>
    <row r="793" spans="1:27" s="17" customFormat="1" x14ac:dyDescent="0.35">
      <c r="A793" s="21"/>
      <c r="B793" s="21"/>
      <c r="D793" s="21"/>
      <c r="E793" s="21"/>
      <c r="H793" s="93"/>
      <c r="T793"/>
      <c r="U793"/>
      <c r="V793"/>
      <c r="W793"/>
      <c r="X793"/>
      <c r="Y793"/>
      <c r="Z793"/>
      <c r="AA793"/>
    </row>
    <row r="794" spans="1:27" s="17" customFormat="1" x14ac:dyDescent="0.35">
      <c r="A794" s="21"/>
      <c r="B794" s="21"/>
      <c r="D794" s="21"/>
      <c r="E794" s="21"/>
      <c r="H794" s="93"/>
      <c r="T794"/>
      <c r="U794"/>
      <c r="V794"/>
      <c r="W794"/>
      <c r="X794"/>
      <c r="Y794"/>
      <c r="Z794"/>
      <c r="AA794"/>
    </row>
    <row r="795" spans="1:27" s="17" customFormat="1" x14ac:dyDescent="0.35">
      <c r="A795" s="21"/>
      <c r="B795" s="21"/>
      <c r="D795" s="21"/>
      <c r="E795" s="21"/>
      <c r="H795" s="93"/>
      <c r="T795"/>
      <c r="U795"/>
      <c r="V795"/>
      <c r="W795"/>
      <c r="X795"/>
      <c r="Y795"/>
      <c r="Z795"/>
      <c r="AA795"/>
    </row>
    <row r="796" spans="1:27" s="17" customFormat="1" x14ac:dyDescent="0.35">
      <c r="A796" s="21"/>
      <c r="B796" s="21"/>
      <c r="D796" s="21"/>
      <c r="E796" s="21"/>
      <c r="H796" s="93"/>
      <c r="T796"/>
      <c r="U796"/>
      <c r="V796"/>
      <c r="W796"/>
      <c r="X796"/>
      <c r="Y796"/>
      <c r="Z796"/>
      <c r="AA796"/>
    </row>
    <row r="797" spans="1:27" s="17" customFormat="1" x14ac:dyDescent="0.35">
      <c r="A797" s="21"/>
      <c r="B797" s="21"/>
      <c r="D797" s="21"/>
      <c r="E797" s="21"/>
      <c r="H797" s="93"/>
      <c r="T797"/>
      <c r="U797"/>
      <c r="V797"/>
      <c r="W797"/>
      <c r="X797"/>
      <c r="Y797"/>
      <c r="Z797"/>
      <c r="AA797"/>
    </row>
    <row r="798" spans="1:27" s="17" customFormat="1" x14ac:dyDescent="0.35">
      <c r="A798" s="21"/>
      <c r="B798" s="21"/>
      <c r="D798" s="21"/>
      <c r="E798" s="21"/>
      <c r="H798" s="93"/>
      <c r="T798"/>
      <c r="U798"/>
      <c r="V798"/>
      <c r="W798"/>
      <c r="X798"/>
      <c r="Y798"/>
      <c r="Z798"/>
      <c r="AA798"/>
    </row>
    <row r="799" spans="1:27" s="17" customFormat="1" x14ac:dyDescent="0.35">
      <c r="A799" s="21"/>
      <c r="B799" s="21"/>
      <c r="D799" s="21"/>
      <c r="E799" s="21"/>
      <c r="H799" s="93"/>
      <c r="T799"/>
      <c r="U799"/>
      <c r="V799"/>
      <c r="W799"/>
      <c r="X799"/>
      <c r="Y799"/>
      <c r="Z799"/>
      <c r="AA799"/>
    </row>
    <row r="800" spans="1:27" s="17" customFormat="1" x14ac:dyDescent="0.35">
      <c r="A800" s="21"/>
      <c r="B800" s="21"/>
      <c r="D800" s="21"/>
      <c r="E800" s="21"/>
      <c r="H800" s="93"/>
      <c r="T800"/>
      <c r="U800"/>
      <c r="V800"/>
      <c r="W800"/>
      <c r="X800"/>
      <c r="Y800"/>
      <c r="Z800"/>
      <c r="AA800"/>
    </row>
    <row r="801" spans="1:27" s="17" customFormat="1" x14ac:dyDescent="0.35">
      <c r="A801" s="21"/>
      <c r="B801" s="21"/>
      <c r="D801" s="21"/>
      <c r="E801" s="21"/>
      <c r="H801" s="93"/>
      <c r="T801"/>
      <c r="U801"/>
      <c r="V801"/>
      <c r="W801"/>
      <c r="X801"/>
      <c r="Y801"/>
      <c r="Z801"/>
      <c r="AA801"/>
    </row>
    <row r="802" spans="1:27" s="17" customFormat="1" x14ac:dyDescent="0.35">
      <c r="A802" s="21"/>
      <c r="B802" s="21"/>
      <c r="D802" s="21"/>
      <c r="E802" s="21"/>
      <c r="H802" s="93"/>
      <c r="T802"/>
      <c r="U802"/>
      <c r="V802"/>
      <c r="W802"/>
      <c r="X802"/>
      <c r="Y802"/>
      <c r="Z802"/>
      <c r="AA802"/>
    </row>
    <row r="803" spans="1:27" s="17" customFormat="1" x14ac:dyDescent="0.35">
      <c r="A803" s="21"/>
      <c r="B803" s="21"/>
      <c r="D803" s="21"/>
      <c r="E803" s="21"/>
      <c r="H803" s="93"/>
      <c r="T803"/>
      <c r="U803"/>
      <c r="V803"/>
      <c r="W803"/>
      <c r="X803"/>
      <c r="Y803"/>
      <c r="Z803"/>
      <c r="AA803"/>
    </row>
    <row r="804" spans="1:27" s="17" customFormat="1" x14ac:dyDescent="0.35">
      <c r="A804" s="21"/>
      <c r="B804" s="21"/>
      <c r="D804" s="21"/>
      <c r="E804" s="21"/>
      <c r="H804" s="93"/>
      <c r="T804"/>
      <c r="U804"/>
      <c r="V804"/>
      <c r="W804"/>
      <c r="X804"/>
      <c r="Y804"/>
      <c r="Z804"/>
      <c r="AA804"/>
    </row>
    <row r="805" spans="1:27" s="17" customFormat="1" x14ac:dyDescent="0.35">
      <c r="A805" s="21"/>
      <c r="B805" s="21"/>
      <c r="D805" s="21"/>
      <c r="E805" s="21"/>
      <c r="H805" s="93"/>
      <c r="T805"/>
      <c r="U805"/>
      <c r="V805"/>
      <c r="W805"/>
      <c r="X805"/>
      <c r="Y805"/>
      <c r="Z805"/>
      <c r="AA805"/>
    </row>
    <row r="806" spans="1:27" s="17" customFormat="1" x14ac:dyDescent="0.35">
      <c r="A806" s="21"/>
      <c r="B806" s="21"/>
      <c r="D806" s="21"/>
      <c r="E806" s="21"/>
      <c r="H806" s="93"/>
      <c r="T806"/>
      <c r="U806"/>
      <c r="V806"/>
      <c r="W806"/>
      <c r="X806"/>
      <c r="Y806"/>
      <c r="Z806"/>
      <c r="AA806"/>
    </row>
    <row r="807" spans="1:27" s="17" customFormat="1" x14ac:dyDescent="0.35">
      <c r="A807" s="21"/>
      <c r="B807" s="21"/>
      <c r="D807" s="21"/>
      <c r="E807" s="21"/>
      <c r="H807" s="93"/>
      <c r="T807"/>
      <c r="U807"/>
      <c r="V807"/>
      <c r="W807"/>
      <c r="X807"/>
      <c r="Y807"/>
      <c r="Z807"/>
      <c r="AA807"/>
    </row>
    <row r="808" spans="1:27" s="17" customFormat="1" x14ac:dyDescent="0.35">
      <c r="A808" s="21"/>
      <c r="B808" s="21"/>
      <c r="D808" s="21"/>
      <c r="E808" s="21"/>
      <c r="H808" s="93"/>
      <c r="T808"/>
      <c r="U808"/>
      <c r="V808"/>
      <c r="W808"/>
      <c r="X808"/>
      <c r="Y808"/>
      <c r="Z808"/>
      <c r="AA808"/>
    </row>
    <row r="809" spans="1:27" s="17" customFormat="1" x14ac:dyDescent="0.35">
      <c r="A809" s="21"/>
      <c r="B809" s="21"/>
      <c r="D809" s="21"/>
      <c r="E809" s="21"/>
      <c r="H809" s="93"/>
      <c r="T809"/>
      <c r="U809"/>
      <c r="V809"/>
      <c r="W809"/>
      <c r="X809"/>
      <c r="Y809"/>
      <c r="Z809"/>
      <c r="AA809"/>
    </row>
    <row r="810" spans="1:27" s="17" customFormat="1" x14ac:dyDescent="0.35">
      <c r="A810" s="21"/>
      <c r="B810" s="21"/>
      <c r="D810" s="21"/>
      <c r="E810" s="21"/>
      <c r="H810" s="93"/>
      <c r="T810"/>
      <c r="U810"/>
      <c r="V810"/>
      <c r="W810"/>
      <c r="X810"/>
      <c r="Y810"/>
      <c r="Z810"/>
      <c r="AA810"/>
    </row>
    <row r="811" spans="1:27" s="17" customFormat="1" x14ac:dyDescent="0.35">
      <c r="A811" s="21"/>
      <c r="B811" s="21"/>
      <c r="D811" s="21"/>
      <c r="E811" s="21"/>
      <c r="H811" s="93"/>
      <c r="T811"/>
      <c r="U811"/>
      <c r="V811"/>
      <c r="W811"/>
      <c r="X811"/>
      <c r="Y811"/>
      <c r="Z811"/>
      <c r="AA811"/>
    </row>
    <row r="812" spans="1:27" s="17" customFormat="1" x14ac:dyDescent="0.35">
      <c r="A812" s="21"/>
      <c r="B812" s="21"/>
      <c r="D812" s="21"/>
      <c r="E812" s="21"/>
      <c r="H812" s="93"/>
      <c r="T812"/>
      <c r="U812"/>
      <c r="V812"/>
      <c r="W812"/>
      <c r="X812"/>
      <c r="Y812"/>
      <c r="Z812"/>
      <c r="AA812"/>
    </row>
    <row r="813" spans="1:27" s="17" customFormat="1" x14ac:dyDescent="0.35">
      <c r="A813" s="21"/>
      <c r="B813" s="21"/>
      <c r="D813" s="21"/>
      <c r="E813" s="21"/>
      <c r="H813" s="93"/>
      <c r="T813"/>
      <c r="U813"/>
      <c r="V813"/>
      <c r="W813"/>
      <c r="X813"/>
      <c r="Y813"/>
      <c r="Z813"/>
      <c r="AA813"/>
    </row>
    <row r="814" spans="1:27" s="17" customFormat="1" x14ac:dyDescent="0.35">
      <c r="A814" s="21"/>
      <c r="B814" s="21"/>
      <c r="D814" s="21"/>
      <c r="E814" s="21"/>
      <c r="H814" s="93"/>
      <c r="T814"/>
      <c r="U814"/>
      <c r="V814"/>
      <c r="W814"/>
      <c r="X814"/>
      <c r="Y814"/>
      <c r="Z814"/>
      <c r="AA814"/>
    </row>
    <row r="815" spans="1:27" s="17" customFormat="1" x14ac:dyDescent="0.35">
      <c r="A815" s="21"/>
      <c r="B815" s="21"/>
      <c r="D815" s="21"/>
      <c r="E815" s="21"/>
      <c r="H815" s="93"/>
      <c r="T815"/>
      <c r="U815"/>
      <c r="V815"/>
      <c r="W815"/>
      <c r="X815"/>
      <c r="Y815"/>
      <c r="Z815"/>
      <c r="AA815"/>
    </row>
    <row r="816" spans="1:27" s="17" customFormat="1" x14ac:dyDescent="0.35">
      <c r="A816" s="21"/>
      <c r="B816" s="21"/>
      <c r="D816" s="21"/>
      <c r="E816" s="21"/>
      <c r="H816" s="93"/>
      <c r="T816"/>
      <c r="U816"/>
      <c r="V816"/>
      <c r="W816"/>
      <c r="X816"/>
      <c r="Y816"/>
      <c r="Z816"/>
      <c r="AA816"/>
    </row>
    <row r="817" spans="1:27" s="17" customFormat="1" x14ac:dyDescent="0.35">
      <c r="A817" s="21"/>
      <c r="B817" s="21"/>
      <c r="D817" s="21"/>
      <c r="E817" s="21"/>
      <c r="H817" s="93"/>
      <c r="T817"/>
      <c r="U817"/>
      <c r="V817"/>
      <c r="W817"/>
      <c r="X817"/>
      <c r="Y817"/>
      <c r="Z817"/>
      <c r="AA817"/>
    </row>
    <row r="818" spans="1:27" s="17" customFormat="1" x14ac:dyDescent="0.35">
      <c r="A818" s="21"/>
      <c r="B818" s="21"/>
      <c r="D818" s="21"/>
      <c r="E818" s="21"/>
      <c r="H818" s="93"/>
      <c r="T818"/>
      <c r="U818"/>
      <c r="V818"/>
      <c r="W818"/>
      <c r="X818"/>
      <c r="Y818"/>
      <c r="Z818"/>
      <c r="AA818"/>
    </row>
    <row r="819" spans="1:27" s="17" customFormat="1" x14ac:dyDescent="0.35">
      <c r="A819" s="21"/>
      <c r="B819" s="21"/>
      <c r="D819" s="21"/>
      <c r="E819" s="21"/>
      <c r="H819" s="93"/>
      <c r="T819"/>
      <c r="U819"/>
      <c r="V819"/>
      <c r="W819"/>
      <c r="X819"/>
      <c r="Y819"/>
      <c r="Z819"/>
      <c r="AA819"/>
    </row>
    <row r="820" spans="1:27" s="17" customFormat="1" x14ac:dyDescent="0.35">
      <c r="A820" s="21"/>
      <c r="B820" s="21"/>
      <c r="D820" s="21"/>
      <c r="E820" s="21"/>
      <c r="H820" s="93"/>
      <c r="T820"/>
      <c r="U820"/>
      <c r="V820"/>
      <c r="W820"/>
      <c r="X820"/>
      <c r="Y820"/>
      <c r="Z820"/>
      <c r="AA820"/>
    </row>
    <row r="821" spans="1:27" s="17" customFormat="1" x14ac:dyDescent="0.35">
      <c r="A821" s="21"/>
      <c r="B821" s="21"/>
      <c r="D821" s="21"/>
      <c r="E821" s="21"/>
      <c r="H821" s="93"/>
      <c r="T821"/>
      <c r="U821"/>
      <c r="V821"/>
      <c r="W821"/>
      <c r="X821"/>
      <c r="Y821"/>
      <c r="Z821"/>
      <c r="AA821"/>
    </row>
    <row r="822" spans="1:27" s="17" customFormat="1" x14ac:dyDescent="0.35">
      <c r="A822" s="21"/>
      <c r="B822" s="21"/>
      <c r="D822" s="21"/>
      <c r="E822" s="21"/>
      <c r="H822" s="93"/>
      <c r="T822"/>
      <c r="U822"/>
      <c r="V822"/>
      <c r="W822"/>
      <c r="X822"/>
      <c r="Y822"/>
      <c r="Z822"/>
      <c r="AA822"/>
    </row>
    <row r="823" spans="1:27" s="17" customFormat="1" x14ac:dyDescent="0.35">
      <c r="A823" s="21"/>
      <c r="B823" s="21"/>
      <c r="D823" s="21"/>
      <c r="E823" s="21"/>
      <c r="H823" s="93"/>
      <c r="T823"/>
      <c r="U823"/>
      <c r="V823"/>
      <c r="W823"/>
      <c r="X823"/>
      <c r="Y823"/>
      <c r="Z823"/>
      <c r="AA823"/>
    </row>
    <row r="824" spans="1:27" s="17" customFormat="1" x14ac:dyDescent="0.35">
      <c r="A824" s="21"/>
      <c r="B824" s="21"/>
      <c r="D824" s="21"/>
      <c r="E824" s="21"/>
      <c r="H824" s="93"/>
      <c r="T824"/>
      <c r="U824"/>
      <c r="V824"/>
      <c r="W824"/>
      <c r="X824"/>
      <c r="Y824"/>
      <c r="Z824"/>
      <c r="AA824"/>
    </row>
    <row r="825" spans="1:27" s="17" customFormat="1" x14ac:dyDescent="0.35">
      <c r="A825" s="21"/>
      <c r="B825" s="21"/>
      <c r="D825" s="21"/>
      <c r="E825" s="21"/>
      <c r="H825" s="93"/>
      <c r="T825"/>
      <c r="U825"/>
      <c r="V825"/>
      <c r="W825"/>
      <c r="X825"/>
      <c r="Y825"/>
      <c r="Z825"/>
      <c r="AA825"/>
    </row>
    <row r="826" spans="1:27" s="17" customFormat="1" x14ac:dyDescent="0.35">
      <c r="A826" s="21"/>
      <c r="B826" s="21"/>
      <c r="D826" s="21"/>
      <c r="E826" s="21"/>
      <c r="H826" s="93"/>
      <c r="T826"/>
      <c r="U826"/>
      <c r="V826"/>
      <c r="W826"/>
      <c r="X826"/>
      <c r="Y826"/>
      <c r="Z826"/>
      <c r="AA826"/>
    </row>
    <row r="827" spans="1:27" s="17" customFormat="1" x14ac:dyDescent="0.35">
      <c r="A827" s="21"/>
      <c r="B827" s="21"/>
      <c r="D827" s="21"/>
      <c r="E827" s="21"/>
      <c r="H827" s="93"/>
      <c r="T827"/>
      <c r="U827"/>
      <c r="V827"/>
      <c r="W827"/>
      <c r="X827"/>
      <c r="Y827"/>
      <c r="Z827"/>
      <c r="AA827"/>
    </row>
    <row r="828" spans="1:27" s="17" customFormat="1" x14ac:dyDescent="0.35">
      <c r="A828" s="21"/>
      <c r="B828" s="21"/>
      <c r="D828" s="21"/>
      <c r="E828" s="21"/>
      <c r="H828" s="93"/>
      <c r="T828"/>
      <c r="U828"/>
      <c r="V828"/>
      <c r="W828"/>
      <c r="X828"/>
      <c r="Y828"/>
      <c r="Z828"/>
      <c r="AA828"/>
    </row>
    <row r="829" spans="1:27" s="17" customFormat="1" x14ac:dyDescent="0.35">
      <c r="A829" s="21"/>
      <c r="B829" s="21"/>
      <c r="D829" s="21"/>
      <c r="E829" s="21"/>
      <c r="H829" s="93"/>
      <c r="T829"/>
      <c r="U829"/>
      <c r="V829"/>
      <c r="W829"/>
      <c r="X829"/>
      <c r="Y829"/>
      <c r="Z829"/>
      <c r="AA829"/>
    </row>
    <row r="830" spans="1:27" s="17" customFormat="1" x14ac:dyDescent="0.35">
      <c r="A830" s="21"/>
      <c r="B830" s="21"/>
      <c r="D830" s="21"/>
      <c r="E830" s="21"/>
      <c r="H830" s="93"/>
      <c r="T830"/>
      <c r="U830"/>
      <c r="V830"/>
      <c r="W830"/>
      <c r="X830"/>
      <c r="Y830"/>
      <c r="Z830"/>
      <c r="AA830"/>
    </row>
    <row r="831" spans="1:27" s="17" customFormat="1" x14ac:dyDescent="0.35">
      <c r="A831" s="21"/>
      <c r="B831" s="21"/>
      <c r="D831" s="21"/>
      <c r="E831" s="21"/>
      <c r="H831" s="93"/>
      <c r="T831"/>
      <c r="U831"/>
      <c r="V831"/>
      <c r="W831"/>
      <c r="X831"/>
      <c r="Y831"/>
      <c r="Z831"/>
      <c r="AA831"/>
    </row>
    <row r="832" spans="1:27" s="17" customFormat="1" x14ac:dyDescent="0.35">
      <c r="A832" s="21"/>
      <c r="B832" s="21"/>
      <c r="D832" s="21"/>
      <c r="E832" s="21"/>
      <c r="H832" s="93"/>
      <c r="T832"/>
      <c r="U832"/>
      <c r="V832"/>
      <c r="W832"/>
      <c r="X832"/>
      <c r="Y832"/>
      <c r="Z832"/>
      <c r="AA832"/>
    </row>
    <row r="833" spans="1:27" s="17" customFormat="1" x14ac:dyDescent="0.35">
      <c r="A833" s="21"/>
      <c r="B833" s="21"/>
      <c r="D833" s="21"/>
      <c r="E833" s="21"/>
      <c r="H833" s="93"/>
      <c r="T833"/>
      <c r="U833"/>
      <c r="V833"/>
      <c r="W833"/>
      <c r="X833"/>
      <c r="Y833"/>
      <c r="Z833"/>
      <c r="AA833"/>
    </row>
    <row r="834" spans="1:27" s="17" customFormat="1" x14ac:dyDescent="0.35">
      <c r="A834" s="21"/>
      <c r="B834" s="21"/>
      <c r="D834" s="21"/>
      <c r="E834" s="21"/>
      <c r="H834" s="93"/>
      <c r="T834"/>
      <c r="U834"/>
      <c r="V834"/>
      <c r="W834"/>
      <c r="X834"/>
      <c r="Y834"/>
      <c r="Z834"/>
      <c r="AA834"/>
    </row>
    <row r="835" spans="1:27" s="17" customFormat="1" x14ac:dyDescent="0.35">
      <c r="A835" s="21"/>
      <c r="B835" s="21"/>
      <c r="D835" s="21"/>
      <c r="E835" s="21"/>
      <c r="H835" s="93"/>
      <c r="T835"/>
      <c r="U835"/>
      <c r="V835"/>
      <c r="W835"/>
      <c r="X835"/>
      <c r="Y835"/>
      <c r="Z835"/>
      <c r="AA835"/>
    </row>
    <row r="836" spans="1:27" s="17" customFormat="1" x14ac:dyDescent="0.35">
      <c r="A836" s="21"/>
      <c r="B836" s="21"/>
      <c r="D836" s="21"/>
      <c r="E836" s="21"/>
      <c r="H836" s="93"/>
      <c r="T836"/>
      <c r="U836"/>
      <c r="V836"/>
      <c r="W836"/>
      <c r="X836"/>
      <c r="Y836"/>
      <c r="Z836"/>
      <c r="AA836"/>
    </row>
    <row r="837" spans="1:27" s="17" customFormat="1" x14ac:dyDescent="0.35">
      <c r="A837" s="21"/>
      <c r="B837" s="21"/>
      <c r="D837" s="21"/>
      <c r="E837" s="21"/>
      <c r="H837" s="93"/>
      <c r="T837"/>
      <c r="U837"/>
      <c r="V837"/>
      <c r="W837"/>
      <c r="X837"/>
      <c r="Y837"/>
      <c r="Z837"/>
      <c r="AA837"/>
    </row>
    <row r="838" spans="1:27" s="17" customFormat="1" x14ac:dyDescent="0.35">
      <c r="A838" s="21"/>
      <c r="B838" s="21"/>
      <c r="D838" s="21"/>
      <c r="E838" s="21"/>
      <c r="H838" s="93"/>
      <c r="T838"/>
      <c r="U838"/>
      <c r="V838"/>
      <c r="W838"/>
      <c r="X838"/>
      <c r="Y838"/>
      <c r="Z838"/>
      <c r="AA838"/>
    </row>
    <row r="839" spans="1:27" s="17" customFormat="1" x14ac:dyDescent="0.35">
      <c r="A839" s="21"/>
      <c r="B839" s="21"/>
      <c r="D839" s="21"/>
      <c r="E839" s="21"/>
      <c r="H839" s="93"/>
      <c r="T839"/>
      <c r="U839"/>
      <c r="V839"/>
      <c r="W839"/>
      <c r="X839"/>
      <c r="Y839"/>
      <c r="Z839"/>
      <c r="AA839"/>
    </row>
    <row r="840" spans="1:27" s="17" customFormat="1" x14ac:dyDescent="0.35">
      <c r="A840" s="21"/>
      <c r="B840" s="21"/>
      <c r="D840" s="21"/>
      <c r="E840" s="21"/>
      <c r="H840" s="93"/>
      <c r="T840"/>
      <c r="U840"/>
      <c r="V840"/>
      <c r="W840"/>
      <c r="X840"/>
      <c r="Y840"/>
      <c r="Z840"/>
      <c r="AA840"/>
    </row>
    <row r="841" spans="1:27" s="17" customFormat="1" x14ac:dyDescent="0.35">
      <c r="A841" s="21"/>
      <c r="B841" s="21"/>
      <c r="D841" s="21"/>
      <c r="E841" s="21"/>
      <c r="H841" s="93"/>
      <c r="T841"/>
      <c r="U841"/>
      <c r="V841"/>
      <c r="W841"/>
      <c r="X841"/>
      <c r="Y841"/>
      <c r="Z841"/>
      <c r="AA841"/>
    </row>
    <row r="842" spans="1:27" s="17" customFormat="1" x14ac:dyDescent="0.35">
      <c r="A842" s="21"/>
      <c r="B842" s="21"/>
      <c r="D842" s="21"/>
      <c r="E842" s="21"/>
      <c r="H842" s="93"/>
      <c r="T842"/>
      <c r="U842"/>
      <c r="V842"/>
      <c r="W842"/>
      <c r="X842"/>
      <c r="Y842"/>
      <c r="Z842"/>
      <c r="AA842"/>
    </row>
    <row r="843" spans="1:27" s="17" customFormat="1" x14ac:dyDescent="0.35">
      <c r="A843" s="21"/>
      <c r="B843" s="21"/>
      <c r="D843" s="21"/>
      <c r="E843" s="21"/>
      <c r="H843" s="93"/>
      <c r="T843"/>
      <c r="U843"/>
      <c r="V843"/>
      <c r="W843"/>
      <c r="X843"/>
      <c r="Y843"/>
      <c r="Z843"/>
      <c r="AA843"/>
    </row>
    <row r="844" spans="1:27" s="17" customFormat="1" x14ac:dyDescent="0.35">
      <c r="A844" s="21"/>
      <c r="B844" s="21"/>
      <c r="D844" s="21"/>
      <c r="E844" s="21"/>
      <c r="H844" s="93"/>
      <c r="T844"/>
      <c r="U844"/>
      <c r="V844"/>
      <c r="W844"/>
      <c r="X844"/>
      <c r="Y844"/>
      <c r="Z844"/>
      <c r="AA844"/>
    </row>
    <row r="845" spans="1:27" s="17" customFormat="1" x14ac:dyDescent="0.35">
      <c r="A845" s="21"/>
      <c r="B845" s="21"/>
      <c r="D845" s="21"/>
      <c r="E845" s="21"/>
      <c r="H845" s="93"/>
      <c r="T845"/>
      <c r="U845"/>
      <c r="V845"/>
      <c r="W845"/>
      <c r="X845"/>
      <c r="Y845"/>
      <c r="Z845"/>
      <c r="AA845"/>
    </row>
    <row r="846" spans="1:27" s="17" customFormat="1" x14ac:dyDescent="0.35">
      <c r="A846" s="21"/>
      <c r="B846" s="21"/>
      <c r="D846" s="21"/>
      <c r="E846" s="21"/>
      <c r="H846" s="93"/>
      <c r="T846"/>
      <c r="U846"/>
      <c r="V846"/>
      <c r="W846"/>
      <c r="X846"/>
      <c r="Y846"/>
      <c r="Z846"/>
      <c r="AA846"/>
    </row>
    <row r="847" spans="1:27" s="17" customFormat="1" x14ac:dyDescent="0.35">
      <c r="A847" s="21"/>
      <c r="B847" s="21"/>
      <c r="D847" s="21"/>
      <c r="E847" s="21"/>
      <c r="H847" s="93"/>
      <c r="T847"/>
      <c r="U847"/>
      <c r="V847"/>
      <c r="W847"/>
      <c r="X847"/>
      <c r="Y847"/>
      <c r="Z847"/>
      <c r="AA847"/>
    </row>
    <row r="848" spans="1:27" s="17" customFormat="1" x14ac:dyDescent="0.35">
      <c r="A848" s="21"/>
      <c r="B848" s="21"/>
      <c r="D848" s="21"/>
      <c r="E848" s="21"/>
      <c r="H848" s="93"/>
      <c r="T848"/>
      <c r="U848"/>
      <c r="V848"/>
      <c r="W848"/>
      <c r="X848"/>
      <c r="Y848"/>
      <c r="Z848"/>
      <c r="AA848"/>
    </row>
    <row r="849" spans="1:27" s="17" customFormat="1" x14ac:dyDescent="0.35">
      <c r="A849" s="21"/>
      <c r="B849" s="21"/>
      <c r="D849" s="21"/>
      <c r="E849" s="21"/>
      <c r="H849" s="93"/>
      <c r="T849"/>
      <c r="U849"/>
      <c r="V849"/>
      <c r="W849"/>
      <c r="X849"/>
      <c r="Y849"/>
      <c r="Z849"/>
      <c r="AA849"/>
    </row>
    <row r="850" spans="1:27" s="17" customFormat="1" x14ac:dyDescent="0.35">
      <c r="A850" s="21"/>
      <c r="B850" s="21"/>
      <c r="D850" s="21"/>
      <c r="E850" s="21"/>
      <c r="H850" s="93"/>
      <c r="T850"/>
      <c r="U850"/>
      <c r="V850"/>
      <c r="W850"/>
      <c r="X850"/>
      <c r="Y850"/>
      <c r="Z850"/>
      <c r="AA850"/>
    </row>
    <row r="851" spans="1:27" s="17" customFormat="1" x14ac:dyDescent="0.35">
      <c r="A851" s="21"/>
      <c r="B851" s="21"/>
      <c r="D851" s="21"/>
      <c r="E851" s="21"/>
      <c r="H851" s="93"/>
      <c r="T851"/>
      <c r="U851"/>
      <c r="V851"/>
      <c r="W851"/>
      <c r="X851"/>
      <c r="Y851"/>
      <c r="Z851"/>
      <c r="AA851"/>
    </row>
    <row r="852" spans="1:27" s="17" customFormat="1" x14ac:dyDescent="0.35">
      <c r="A852" s="21"/>
      <c r="B852" s="21"/>
      <c r="D852" s="21"/>
      <c r="E852" s="21"/>
      <c r="H852" s="93"/>
      <c r="T852"/>
      <c r="U852"/>
      <c r="V852"/>
      <c r="W852"/>
      <c r="X852"/>
      <c r="Y852"/>
      <c r="Z852"/>
      <c r="AA852"/>
    </row>
    <row r="853" spans="1:27" s="17" customFormat="1" x14ac:dyDescent="0.35">
      <c r="A853" s="21"/>
      <c r="B853" s="21"/>
      <c r="D853" s="21"/>
      <c r="E853" s="21"/>
      <c r="H853" s="93"/>
      <c r="T853"/>
      <c r="U853"/>
      <c r="V853"/>
      <c r="W853"/>
      <c r="X853"/>
      <c r="Y853"/>
      <c r="Z853"/>
      <c r="AA853"/>
    </row>
    <row r="854" spans="1:27" s="17" customFormat="1" x14ac:dyDescent="0.35">
      <c r="A854" s="21"/>
      <c r="B854" s="21"/>
      <c r="D854" s="21"/>
      <c r="E854" s="21"/>
      <c r="H854" s="93"/>
      <c r="T854"/>
      <c r="U854"/>
      <c r="V854"/>
      <c r="W854"/>
      <c r="X854"/>
      <c r="Y854"/>
      <c r="Z854"/>
      <c r="AA854"/>
    </row>
    <row r="855" spans="1:27" s="17" customFormat="1" x14ac:dyDescent="0.35">
      <c r="A855" s="21"/>
      <c r="B855" s="21"/>
      <c r="D855" s="21"/>
      <c r="E855" s="21"/>
      <c r="H855" s="93"/>
      <c r="T855"/>
      <c r="U855"/>
      <c r="V855"/>
      <c r="W855"/>
      <c r="X855"/>
      <c r="Y855"/>
      <c r="Z855"/>
      <c r="AA855"/>
    </row>
    <row r="856" spans="1:27" s="17" customFormat="1" x14ac:dyDescent="0.35">
      <c r="A856" s="21"/>
      <c r="B856" s="21"/>
      <c r="D856" s="21"/>
      <c r="E856" s="21"/>
      <c r="H856" s="93"/>
      <c r="T856"/>
      <c r="U856"/>
      <c r="V856"/>
      <c r="W856"/>
      <c r="X856"/>
      <c r="Y856"/>
      <c r="Z856"/>
      <c r="AA856"/>
    </row>
    <row r="857" spans="1:27" s="17" customFormat="1" x14ac:dyDescent="0.35">
      <c r="A857" s="21"/>
      <c r="B857" s="21"/>
      <c r="D857" s="21"/>
      <c r="E857" s="21"/>
      <c r="H857" s="93"/>
      <c r="T857"/>
      <c r="U857"/>
      <c r="V857"/>
      <c r="W857"/>
      <c r="X857"/>
      <c r="Y857"/>
      <c r="Z857"/>
      <c r="AA857"/>
    </row>
    <row r="858" spans="1:27" s="17" customFormat="1" x14ac:dyDescent="0.35">
      <c r="A858" s="21"/>
      <c r="B858" s="21"/>
      <c r="D858" s="21"/>
      <c r="E858" s="21"/>
      <c r="H858" s="93"/>
      <c r="T858"/>
      <c r="U858"/>
      <c r="V858"/>
      <c r="W858"/>
      <c r="X858"/>
      <c r="Y858"/>
      <c r="Z858"/>
      <c r="AA858"/>
    </row>
    <row r="859" spans="1:27" s="17" customFormat="1" x14ac:dyDescent="0.35">
      <c r="A859" s="21"/>
      <c r="B859" s="21"/>
      <c r="D859" s="21"/>
      <c r="E859" s="21"/>
      <c r="H859" s="93"/>
      <c r="T859"/>
      <c r="U859"/>
      <c r="V859"/>
      <c r="W859"/>
      <c r="X859"/>
      <c r="Y859"/>
      <c r="Z859"/>
      <c r="AA859"/>
    </row>
    <row r="860" spans="1:27" s="17" customFormat="1" x14ac:dyDescent="0.35">
      <c r="A860" s="21"/>
      <c r="B860" s="21"/>
      <c r="D860" s="21"/>
      <c r="E860" s="21"/>
      <c r="H860" s="93"/>
      <c r="T860"/>
      <c r="U860"/>
      <c r="V860"/>
      <c r="W860"/>
      <c r="X860"/>
      <c r="Y860"/>
      <c r="Z860"/>
      <c r="AA860"/>
    </row>
    <row r="861" spans="1:27" s="17" customFormat="1" x14ac:dyDescent="0.35">
      <c r="A861" s="21"/>
      <c r="B861" s="21"/>
      <c r="D861" s="21"/>
      <c r="E861" s="21"/>
      <c r="H861" s="93"/>
      <c r="T861"/>
      <c r="U861"/>
      <c r="V861"/>
      <c r="W861"/>
      <c r="X861"/>
      <c r="Y861"/>
      <c r="Z861"/>
      <c r="AA861"/>
    </row>
    <row r="862" spans="1:27" s="17" customFormat="1" x14ac:dyDescent="0.35">
      <c r="A862" s="21"/>
      <c r="B862" s="21"/>
      <c r="D862" s="21"/>
      <c r="E862" s="21"/>
      <c r="H862" s="93"/>
      <c r="T862"/>
      <c r="U862"/>
      <c r="V862"/>
      <c r="W862"/>
      <c r="X862"/>
      <c r="Y862"/>
      <c r="Z862"/>
      <c r="AA862"/>
    </row>
    <row r="863" spans="1:27" s="17" customFormat="1" x14ac:dyDescent="0.35">
      <c r="A863" s="21"/>
      <c r="B863" s="21"/>
      <c r="D863" s="21"/>
      <c r="E863" s="21"/>
      <c r="H863" s="93"/>
      <c r="T863"/>
      <c r="U863"/>
      <c r="V863"/>
      <c r="W863"/>
      <c r="X863"/>
      <c r="Y863"/>
      <c r="Z863"/>
      <c r="AA863"/>
    </row>
    <row r="864" spans="1:27" s="17" customFormat="1" x14ac:dyDescent="0.35">
      <c r="A864" s="21"/>
      <c r="B864" s="21"/>
      <c r="D864" s="21"/>
      <c r="E864" s="21"/>
      <c r="H864" s="93"/>
      <c r="T864"/>
      <c r="U864"/>
      <c r="V864"/>
      <c r="W864"/>
      <c r="X864"/>
      <c r="Y864"/>
      <c r="Z864"/>
      <c r="AA864"/>
    </row>
    <row r="865" spans="1:27" s="17" customFormat="1" x14ac:dyDescent="0.35">
      <c r="A865" s="21"/>
      <c r="B865" s="21"/>
      <c r="D865" s="21"/>
      <c r="E865" s="21"/>
      <c r="H865" s="93"/>
      <c r="T865"/>
      <c r="U865"/>
      <c r="V865"/>
      <c r="W865"/>
      <c r="X865"/>
      <c r="Y865"/>
      <c r="Z865"/>
      <c r="AA865"/>
    </row>
    <row r="866" spans="1:27" s="17" customFormat="1" x14ac:dyDescent="0.35">
      <c r="A866" s="21"/>
      <c r="B866" s="21"/>
      <c r="D866" s="21"/>
      <c r="E866" s="21"/>
      <c r="H866" s="93"/>
      <c r="T866"/>
      <c r="U866"/>
      <c r="V866"/>
      <c r="W866"/>
      <c r="X866"/>
      <c r="Y866"/>
      <c r="Z866"/>
      <c r="AA866"/>
    </row>
    <row r="867" spans="1:27" s="17" customFormat="1" x14ac:dyDescent="0.35">
      <c r="A867" s="21"/>
      <c r="B867" s="21"/>
      <c r="D867" s="21"/>
      <c r="E867" s="21"/>
      <c r="H867" s="93"/>
      <c r="T867"/>
      <c r="U867"/>
      <c r="V867"/>
      <c r="W867"/>
      <c r="X867"/>
      <c r="Y867"/>
      <c r="Z867"/>
      <c r="AA867"/>
    </row>
    <row r="868" spans="1:27" s="17" customFormat="1" x14ac:dyDescent="0.35">
      <c r="A868" s="21"/>
      <c r="B868" s="21"/>
      <c r="D868" s="21"/>
      <c r="E868" s="21"/>
      <c r="H868" s="93"/>
      <c r="T868"/>
      <c r="U868"/>
      <c r="V868"/>
      <c r="W868"/>
      <c r="X868"/>
      <c r="Y868"/>
      <c r="Z868"/>
      <c r="AA868"/>
    </row>
    <row r="869" spans="1:27" s="17" customFormat="1" x14ac:dyDescent="0.35">
      <c r="A869" s="21"/>
      <c r="B869" s="21"/>
      <c r="D869" s="21"/>
      <c r="E869" s="21"/>
      <c r="H869" s="93"/>
      <c r="T869"/>
      <c r="U869"/>
      <c r="V869"/>
      <c r="W869"/>
      <c r="X869"/>
      <c r="Y869"/>
      <c r="Z869"/>
      <c r="AA869"/>
    </row>
    <row r="870" spans="1:27" s="17" customFormat="1" x14ac:dyDescent="0.35">
      <c r="A870" s="21"/>
      <c r="B870" s="21"/>
      <c r="D870" s="21"/>
      <c r="E870" s="21"/>
      <c r="H870" s="93"/>
      <c r="T870"/>
      <c r="U870"/>
      <c r="V870"/>
      <c r="W870"/>
      <c r="X870"/>
      <c r="Y870"/>
      <c r="Z870"/>
      <c r="AA870"/>
    </row>
    <row r="871" spans="1:27" s="17" customFormat="1" x14ac:dyDescent="0.35">
      <c r="A871" s="21"/>
      <c r="B871" s="21"/>
      <c r="D871" s="21"/>
      <c r="E871" s="21"/>
      <c r="H871" s="93"/>
      <c r="T871"/>
      <c r="U871"/>
      <c r="V871"/>
      <c r="W871"/>
      <c r="X871"/>
      <c r="Y871"/>
      <c r="Z871"/>
      <c r="AA871"/>
    </row>
    <row r="872" spans="1:27" s="17" customFormat="1" x14ac:dyDescent="0.35">
      <c r="A872" s="21"/>
      <c r="B872" s="21"/>
      <c r="D872" s="21"/>
      <c r="E872" s="21"/>
      <c r="H872" s="93"/>
      <c r="T872"/>
      <c r="U872"/>
      <c r="V872"/>
      <c r="W872"/>
      <c r="X872"/>
      <c r="Y872"/>
      <c r="Z872"/>
      <c r="AA872"/>
    </row>
    <row r="873" spans="1:27" s="17" customFormat="1" x14ac:dyDescent="0.35">
      <c r="A873" s="21"/>
      <c r="B873" s="21"/>
      <c r="D873" s="21"/>
      <c r="E873" s="21"/>
      <c r="H873" s="93"/>
      <c r="T873"/>
      <c r="U873"/>
      <c r="V873"/>
      <c r="W873"/>
      <c r="X873"/>
      <c r="Y873"/>
      <c r="Z873"/>
      <c r="AA873"/>
    </row>
    <row r="874" spans="1:27" s="17" customFormat="1" x14ac:dyDescent="0.35">
      <c r="A874" s="21"/>
      <c r="B874" s="21"/>
      <c r="D874" s="21"/>
      <c r="E874" s="21"/>
      <c r="H874" s="93"/>
      <c r="T874"/>
      <c r="U874"/>
      <c r="V874"/>
      <c r="W874"/>
      <c r="X874"/>
      <c r="Y874"/>
      <c r="Z874"/>
      <c r="AA874"/>
    </row>
    <row r="875" spans="1:27" s="17" customFormat="1" x14ac:dyDescent="0.35">
      <c r="A875" s="21"/>
      <c r="B875" s="21"/>
      <c r="D875" s="21"/>
      <c r="E875" s="21"/>
      <c r="H875" s="93"/>
      <c r="T875"/>
      <c r="U875"/>
      <c r="V875"/>
      <c r="W875"/>
      <c r="X875"/>
      <c r="Y875"/>
      <c r="Z875"/>
      <c r="AA875"/>
    </row>
    <row r="876" spans="1:27" s="17" customFormat="1" x14ac:dyDescent="0.35">
      <c r="A876" s="21"/>
      <c r="B876" s="21"/>
      <c r="D876" s="21"/>
      <c r="E876" s="21"/>
      <c r="H876" s="93"/>
      <c r="T876"/>
      <c r="U876"/>
      <c r="V876"/>
      <c r="W876"/>
      <c r="X876"/>
      <c r="Y876"/>
      <c r="Z876"/>
      <c r="AA876"/>
    </row>
    <row r="877" spans="1:27" s="17" customFormat="1" x14ac:dyDescent="0.35">
      <c r="A877" s="21"/>
      <c r="B877" s="21"/>
      <c r="D877" s="21"/>
      <c r="E877" s="21"/>
      <c r="H877" s="93"/>
      <c r="T877"/>
      <c r="U877"/>
      <c r="V877"/>
      <c r="W877"/>
      <c r="X877"/>
      <c r="Y877"/>
      <c r="Z877"/>
      <c r="AA877"/>
    </row>
    <row r="878" spans="1:27" s="17" customFormat="1" x14ac:dyDescent="0.35">
      <c r="A878" s="21"/>
      <c r="B878" s="21"/>
      <c r="D878" s="21"/>
      <c r="E878" s="21"/>
      <c r="H878" s="93"/>
      <c r="T878"/>
      <c r="U878"/>
      <c r="V878"/>
      <c r="W878"/>
      <c r="X878"/>
      <c r="Y878"/>
      <c r="Z878"/>
      <c r="AA878"/>
    </row>
    <row r="879" spans="1:27" s="17" customFormat="1" x14ac:dyDescent="0.35">
      <c r="A879" s="21"/>
      <c r="B879" s="21"/>
      <c r="D879" s="21"/>
      <c r="E879" s="21"/>
      <c r="H879" s="93"/>
      <c r="T879"/>
      <c r="U879"/>
      <c r="V879"/>
      <c r="W879"/>
      <c r="X879"/>
      <c r="Y879"/>
      <c r="Z879"/>
      <c r="AA879"/>
    </row>
    <row r="880" spans="1:27" s="17" customFormat="1" x14ac:dyDescent="0.35">
      <c r="A880" s="21"/>
      <c r="B880" s="21"/>
      <c r="D880" s="21"/>
      <c r="E880" s="21"/>
      <c r="H880" s="93"/>
      <c r="T880"/>
      <c r="U880"/>
      <c r="V880"/>
      <c r="W880"/>
      <c r="X880"/>
      <c r="Y880"/>
      <c r="Z880"/>
      <c r="AA880"/>
    </row>
    <row r="881" spans="1:27" s="17" customFormat="1" x14ac:dyDescent="0.35">
      <c r="A881" s="21"/>
      <c r="B881" s="21"/>
      <c r="D881" s="21"/>
      <c r="E881" s="21"/>
      <c r="H881" s="93"/>
      <c r="T881"/>
      <c r="U881"/>
      <c r="V881"/>
      <c r="W881"/>
      <c r="X881"/>
      <c r="Y881"/>
      <c r="Z881"/>
      <c r="AA881"/>
    </row>
    <row r="882" spans="1:27" s="17" customFormat="1" x14ac:dyDescent="0.35">
      <c r="A882" s="21"/>
      <c r="B882" s="21"/>
      <c r="D882" s="21"/>
      <c r="E882" s="21"/>
      <c r="H882" s="93"/>
      <c r="T882"/>
      <c r="U882"/>
      <c r="V882"/>
      <c r="W882"/>
      <c r="X882"/>
      <c r="Y882"/>
      <c r="Z882"/>
      <c r="AA882"/>
    </row>
    <row r="883" spans="1:27" s="17" customFormat="1" x14ac:dyDescent="0.35">
      <c r="A883" s="21"/>
      <c r="B883" s="21"/>
      <c r="D883" s="21"/>
      <c r="E883" s="21"/>
      <c r="H883" s="93"/>
      <c r="T883"/>
      <c r="U883"/>
      <c r="V883"/>
      <c r="W883"/>
      <c r="X883"/>
      <c r="Y883"/>
      <c r="Z883"/>
      <c r="AA883"/>
    </row>
    <row r="884" spans="1:27" s="17" customFormat="1" x14ac:dyDescent="0.35">
      <c r="A884" s="21"/>
      <c r="B884" s="21"/>
      <c r="D884" s="21"/>
      <c r="E884" s="21"/>
      <c r="H884" s="93"/>
      <c r="T884"/>
      <c r="U884"/>
      <c r="V884"/>
      <c r="W884"/>
      <c r="X884"/>
      <c r="Y884"/>
      <c r="Z884"/>
      <c r="AA884"/>
    </row>
    <row r="885" spans="1:27" s="17" customFormat="1" x14ac:dyDescent="0.35">
      <c r="A885" s="21"/>
      <c r="B885" s="21"/>
      <c r="D885" s="21"/>
      <c r="E885" s="21"/>
      <c r="H885" s="93"/>
      <c r="T885"/>
      <c r="U885"/>
      <c r="V885"/>
      <c r="W885"/>
      <c r="X885"/>
      <c r="Y885"/>
      <c r="Z885"/>
      <c r="AA885"/>
    </row>
    <row r="886" spans="1:27" s="17" customFormat="1" x14ac:dyDescent="0.35">
      <c r="A886" s="21"/>
      <c r="B886" s="21"/>
      <c r="D886" s="21"/>
      <c r="E886" s="21"/>
      <c r="H886" s="93"/>
      <c r="T886"/>
      <c r="U886"/>
      <c r="V886"/>
      <c r="W886"/>
      <c r="X886"/>
      <c r="Y886"/>
      <c r="Z886"/>
      <c r="AA886"/>
    </row>
    <row r="887" spans="1:27" s="17" customFormat="1" x14ac:dyDescent="0.35">
      <c r="A887" s="21"/>
      <c r="B887" s="21"/>
      <c r="D887" s="21"/>
      <c r="E887" s="21"/>
      <c r="H887" s="93"/>
      <c r="T887"/>
      <c r="U887"/>
      <c r="V887"/>
      <c r="W887"/>
      <c r="X887"/>
      <c r="Y887"/>
      <c r="Z887"/>
      <c r="AA887"/>
    </row>
    <row r="888" spans="1:27" s="17" customFormat="1" x14ac:dyDescent="0.35">
      <c r="A888" s="21"/>
      <c r="B888" s="21"/>
      <c r="D888" s="21"/>
      <c r="E888" s="21"/>
      <c r="H888" s="93"/>
      <c r="T888"/>
      <c r="U888"/>
      <c r="V888"/>
      <c r="W888"/>
      <c r="X888"/>
      <c r="Y888"/>
      <c r="Z888"/>
      <c r="AA888"/>
    </row>
    <row r="889" spans="1:27" s="17" customFormat="1" x14ac:dyDescent="0.35">
      <c r="A889" s="21"/>
      <c r="B889" s="21"/>
      <c r="D889" s="21"/>
      <c r="E889" s="21"/>
      <c r="H889" s="93"/>
      <c r="T889"/>
      <c r="U889"/>
      <c r="V889"/>
      <c r="W889"/>
      <c r="X889"/>
      <c r="Y889"/>
      <c r="Z889"/>
      <c r="AA889"/>
    </row>
    <row r="890" spans="1:27" s="17" customFormat="1" x14ac:dyDescent="0.35">
      <c r="A890" s="21"/>
      <c r="B890" s="21"/>
      <c r="D890" s="21"/>
      <c r="E890" s="21"/>
      <c r="H890" s="93"/>
      <c r="T890"/>
      <c r="U890"/>
      <c r="V890"/>
      <c r="W890"/>
      <c r="X890"/>
      <c r="Y890"/>
      <c r="Z890"/>
      <c r="AA890"/>
    </row>
    <row r="891" spans="1:27" s="17" customFormat="1" x14ac:dyDescent="0.35">
      <c r="A891" s="21"/>
      <c r="B891" s="21"/>
      <c r="D891" s="21"/>
      <c r="E891" s="21"/>
      <c r="H891" s="93"/>
      <c r="T891"/>
      <c r="U891"/>
      <c r="V891"/>
      <c r="W891"/>
      <c r="X891"/>
      <c r="Y891"/>
      <c r="Z891"/>
      <c r="AA891"/>
    </row>
    <row r="892" spans="1:27" s="17" customFormat="1" x14ac:dyDescent="0.35">
      <c r="A892" s="21"/>
      <c r="B892" s="21"/>
      <c r="D892" s="21"/>
      <c r="E892" s="21"/>
      <c r="H892" s="93"/>
      <c r="T892"/>
      <c r="U892"/>
      <c r="V892"/>
      <c r="W892"/>
      <c r="X892"/>
      <c r="Y892"/>
      <c r="Z892"/>
      <c r="AA892"/>
    </row>
    <row r="893" spans="1:27" s="17" customFormat="1" x14ac:dyDescent="0.35">
      <c r="A893" s="21"/>
      <c r="B893" s="21"/>
      <c r="D893" s="21"/>
      <c r="E893" s="21"/>
      <c r="H893" s="93"/>
      <c r="T893"/>
      <c r="U893"/>
      <c r="V893"/>
      <c r="W893"/>
      <c r="X893"/>
      <c r="Y893"/>
      <c r="Z893"/>
      <c r="AA893"/>
    </row>
    <row r="894" spans="1:27" s="17" customFormat="1" x14ac:dyDescent="0.35">
      <c r="A894" s="21"/>
      <c r="B894" s="21"/>
      <c r="D894" s="21"/>
      <c r="E894" s="21"/>
      <c r="H894" s="93"/>
      <c r="T894"/>
      <c r="U894"/>
      <c r="V894"/>
      <c r="W894"/>
      <c r="X894"/>
      <c r="Y894"/>
      <c r="Z894"/>
      <c r="AA894"/>
    </row>
    <row r="895" spans="1:27" s="17" customFormat="1" x14ac:dyDescent="0.35">
      <c r="A895" s="21"/>
      <c r="B895" s="21"/>
      <c r="D895" s="21"/>
      <c r="E895" s="21"/>
      <c r="H895" s="93"/>
      <c r="T895"/>
      <c r="U895"/>
      <c r="V895"/>
      <c r="W895"/>
      <c r="X895"/>
      <c r="Y895"/>
      <c r="Z895"/>
      <c r="AA895"/>
    </row>
    <row r="896" spans="1:27" s="17" customFormat="1" x14ac:dyDescent="0.35">
      <c r="A896" s="21"/>
      <c r="B896" s="21"/>
      <c r="D896" s="21"/>
      <c r="E896" s="21"/>
      <c r="H896" s="93"/>
      <c r="T896"/>
      <c r="U896"/>
      <c r="V896"/>
      <c r="W896"/>
      <c r="X896"/>
      <c r="Y896"/>
      <c r="Z896"/>
      <c r="AA896"/>
    </row>
    <row r="897" spans="1:27" s="17" customFormat="1" x14ac:dyDescent="0.35">
      <c r="A897" s="21"/>
      <c r="B897" s="21"/>
      <c r="D897" s="21"/>
      <c r="E897" s="21"/>
      <c r="H897" s="93"/>
      <c r="T897"/>
      <c r="U897"/>
      <c r="V897"/>
      <c r="W897"/>
      <c r="X897"/>
      <c r="Y897"/>
      <c r="Z897"/>
      <c r="AA897"/>
    </row>
    <row r="898" spans="1:27" s="17" customFormat="1" x14ac:dyDescent="0.35">
      <c r="A898" s="21"/>
      <c r="B898" s="21"/>
      <c r="D898" s="21"/>
      <c r="E898" s="21"/>
      <c r="H898" s="93"/>
      <c r="T898"/>
      <c r="U898"/>
      <c r="V898"/>
      <c r="W898"/>
      <c r="X898"/>
      <c r="Y898"/>
      <c r="Z898"/>
      <c r="AA898"/>
    </row>
    <row r="899" spans="1:27" s="17" customFormat="1" x14ac:dyDescent="0.35">
      <c r="A899" s="21"/>
      <c r="B899" s="21"/>
      <c r="D899" s="21"/>
      <c r="E899" s="21"/>
      <c r="H899" s="93"/>
      <c r="T899"/>
      <c r="U899"/>
      <c r="V899"/>
      <c r="W899"/>
      <c r="X899"/>
      <c r="Y899"/>
      <c r="Z899"/>
      <c r="AA899"/>
    </row>
    <row r="900" spans="1:27" s="17" customFormat="1" x14ac:dyDescent="0.35">
      <c r="A900" s="21"/>
      <c r="B900" s="21"/>
      <c r="D900" s="21"/>
      <c r="E900" s="21"/>
      <c r="H900" s="93"/>
      <c r="T900"/>
      <c r="U900"/>
      <c r="V900"/>
      <c r="W900"/>
      <c r="X900"/>
      <c r="Y900"/>
      <c r="Z900"/>
      <c r="AA900"/>
    </row>
    <row r="901" spans="1:27" s="17" customFormat="1" x14ac:dyDescent="0.35">
      <c r="A901" s="21"/>
      <c r="B901" s="21"/>
      <c r="D901" s="21"/>
      <c r="E901" s="21"/>
      <c r="H901" s="93"/>
      <c r="T901"/>
      <c r="U901"/>
      <c r="V901"/>
      <c r="W901"/>
      <c r="X901"/>
      <c r="Y901"/>
      <c r="Z901"/>
      <c r="AA901"/>
    </row>
    <row r="902" spans="1:27" s="17" customFormat="1" x14ac:dyDescent="0.35">
      <c r="A902" s="21"/>
      <c r="B902" s="21"/>
      <c r="D902" s="21"/>
      <c r="E902" s="21"/>
      <c r="H902" s="93"/>
      <c r="T902"/>
      <c r="U902"/>
      <c r="V902"/>
      <c r="W902"/>
      <c r="X902"/>
      <c r="Y902"/>
      <c r="Z902"/>
      <c r="AA902"/>
    </row>
    <row r="903" spans="1:27" s="17" customFormat="1" x14ac:dyDescent="0.35">
      <c r="A903" s="21"/>
      <c r="B903" s="21"/>
      <c r="D903" s="21"/>
      <c r="E903" s="21"/>
      <c r="H903" s="93"/>
      <c r="T903"/>
      <c r="U903"/>
      <c r="V903"/>
      <c r="W903"/>
      <c r="X903"/>
      <c r="Y903"/>
      <c r="Z903"/>
      <c r="AA903"/>
    </row>
    <row r="904" spans="1:27" s="17" customFormat="1" x14ac:dyDescent="0.35">
      <c r="A904" s="21"/>
      <c r="B904" s="21"/>
      <c r="D904" s="21"/>
      <c r="E904" s="21"/>
      <c r="H904" s="93"/>
      <c r="T904"/>
      <c r="U904"/>
      <c r="V904"/>
      <c r="W904"/>
      <c r="X904"/>
      <c r="Y904"/>
      <c r="Z904"/>
      <c r="AA904"/>
    </row>
    <row r="905" spans="1:27" s="17" customFormat="1" x14ac:dyDescent="0.35">
      <c r="A905" s="21"/>
      <c r="B905" s="21"/>
      <c r="D905" s="21"/>
      <c r="E905" s="21"/>
      <c r="H905" s="93"/>
      <c r="T905"/>
      <c r="U905"/>
      <c r="V905"/>
      <c r="W905"/>
      <c r="X905"/>
      <c r="Y905"/>
      <c r="Z905"/>
      <c r="AA905"/>
    </row>
    <row r="906" spans="1:27" s="17" customFormat="1" x14ac:dyDescent="0.35">
      <c r="A906" s="21"/>
      <c r="B906" s="21"/>
      <c r="D906" s="21"/>
      <c r="E906" s="21"/>
      <c r="H906" s="93"/>
      <c r="T906"/>
      <c r="U906"/>
      <c r="V906"/>
      <c r="W906"/>
      <c r="X906"/>
      <c r="Y906"/>
      <c r="Z906"/>
      <c r="AA906"/>
    </row>
    <row r="907" spans="1:27" s="17" customFormat="1" x14ac:dyDescent="0.35">
      <c r="A907" s="21"/>
      <c r="B907" s="21"/>
      <c r="D907" s="21"/>
      <c r="E907" s="21"/>
      <c r="H907" s="93"/>
      <c r="T907"/>
      <c r="U907"/>
      <c r="V907"/>
      <c r="W907"/>
      <c r="X907"/>
      <c r="Y907"/>
      <c r="Z907"/>
      <c r="AA907"/>
    </row>
    <row r="908" spans="1:27" s="17" customFormat="1" x14ac:dyDescent="0.35">
      <c r="A908" s="21"/>
      <c r="B908" s="21"/>
      <c r="D908" s="21"/>
      <c r="E908" s="21"/>
      <c r="H908" s="93"/>
      <c r="T908"/>
      <c r="U908"/>
      <c r="V908"/>
      <c r="W908"/>
      <c r="X908"/>
      <c r="Y908"/>
      <c r="Z908"/>
      <c r="AA908"/>
    </row>
    <row r="909" spans="1:27" s="17" customFormat="1" x14ac:dyDescent="0.35">
      <c r="A909" s="21"/>
      <c r="B909" s="21"/>
      <c r="D909" s="21"/>
      <c r="E909" s="21"/>
      <c r="H909" s="93"/>
      <c r="T909"/>
      <c r="U909"/>
      <c r="V909"/>
      <c r="W909"/>
      <c r="X909"/>
      <c r="Y909"/>
      <c r="Z909"/>
      <c r="AA909"/>
    </row>
    <row r="910" spans="1:27" s="17" customFormat="1" x14ac:dyDescent="0.35">
      <c r="A910" s="21"/>
      <c r="B910" s="21"/>
      <c r="D910" s="21"/>
      <c r="E910" s="21"/>
      <c r="H910" s="93"/>
      <c r="T910"/>
      <c r="U910"/>
      <c r="V910"/>
      <c r="W910"/>
      <c r="X910"/>
      <c r="Y910"/>
      <c r="Z910"/>
      <c r="AA910"/>
    </row>
    <row r="911" spans="1:27" s="17" customFormat="1" x14ac:dyDescent="0.35">
      <c r="A911" s="21"/>
      <c r="B911" s="21"/>
      <c r="D911" s="21"/>
      <c r="E911" s="21"/>
      <c r="H911" s="93"/>
      <c r="T911"/>
      <c r="U911"/>
      <c r="V911"/>
      <c r="W911"/>
      <c r="X911"/>
      <c r="Y911"/>
      <c r="Z911"/>
      <c r="AA911"/>
    </row>
    <row r="912" spans="1:27" s="17" customFormat="1" x14ac:dyDescent="0.35">
      <c r="A912" s="21"/>
      <c r="B912" s="21"/>
      <c r="D912" s="21"/>
      <c r="E912" s="21"/>
      <c r="H912" s="93"/>
      <c r="T912"/>
      <c r="U912"/>
      <c r="V912"/>
      <c r="W912"/>
      <c r="X912"/>
      <c r="Y912"/>
      <c r="Z912"/>
      <c r="AA912"/>
    </row>
    <row r="913" spans="1:27" s="17" customFormat="1" x14ac:dyDescent="0.35">
      <c r="A913" s="21"/>
      <c r="B913" s="21"/>
      <c r="D913" s="21"/>
      <c r="E913" s="21"/>
      <c r="H913" s="93"/>
      <c r="T913"/>
      <c r="U913"/>
      <c r="V913"/>
      <c r="W913"/>
      <c r="X913"/>
      <c r="Y913"/>
      <c r="Z913"/>
      <c r="AA913"/>
    </row>
    <row r="914" spans="1:27" s="17" customFormat="1" x14ac:dyDescent="0.35">
      <c r="A914" s="21"/>
      <c r="B914" s="21"/>
      <c r="D914" s="21"/>
      <c r="E914" s="21"/>
      <c r="H914" s="93"/>
      <c r="T914"/>
      <c r="U914"/>
      <c r="V914"/>
      <c r="W914"/>
      <c r="X914"/>
      <c r="Y914"/>
      <c r="Z914"/>
      <c r="AA914"/>
    </row>
    <row r="915" spans="1:27" s="17" customFormat="1" x14ac:dyDescent="0.35">
      <c r="A915" s="21"/>
      <c r="B915" s="21"/>
      <c r="D915" s="21"/>
      <c r="E915" s="21"/>
      <c r="H915" s="93"/>
      <c r="T915"/>
      <c r="U915"/>
      <c r="V915"/>
      <c r="W915"/>
      <c r="X915"/>
      <c r="Y915"/>
      <c r="Z915"/>
      <c r="AA915"/>
    </row>
    <row r="916" spans="1:27" s="17" customFormat="1" x14ac:dyDescent="0.35">
      <c r="A916" s="21"/>
      <c r="B916" s="21"/>
      <c r="D916" s="21"/>
      <c r="E916" s="21"/>
      <c r="H916" s="93"/>
      <c r="T916"/>
      <c r="U916"/>
      <c r="V916"/>
      <c r="W916"/>
      <c r="X916"/>
      <c r="Y916"/>
      <c r="Z916"/>
      <c r="AA916"/>
    </row>
    <row r="917" spans="1:27" s="17" customFormat="1" x14ac:dyDescent="0.35">
      <c r="A917" s="21"/>
      <c r="B917" s="21"/>
      <c r="D917" s="21"/>
      <c r="E917" s="21"/>
      <c r="H917" s="93"/>
      <c r="T917"/>
      <c r="U917"/>
      <c r="V917"/>
      <c r="W917"/>
      <c r="X917"/>
      <c r="Y917"/>
      <c r="Z917"/>
      <c r="AA917"/>
    </row>
    <row r="918" spans="1:27" s="17" customFormat="1" x14ac:dyDescent="0.35">
      <c r="A918" s="21"/>
      <c r="B918" s="21"/>
      <c r="D918" s="21"/>
      <c r="E918" s="21"/>
      <c r="H918" s="93"/>
      <c r="T918"/>
      <c r="U918"/>
      <c r="V918"/>
      <c r="W918"/>
      <c r="X918"/>
      <c r="Y918"/>
      <c r="Z918"/>
      <c r="AA918"/>
    </row>
    <row r="919" spans="1:27" s="17" customFormat="1" x14ac:dyDescent="0.35">
      <c r="A919" s="21"/>
      <c r="B919" s="21"/>
      <c r="D919" s="21"/>
      <c r="E919" s="21"/>
      <c r="H919" s="93"/>
      <c r="T919"/>
      <c r="U919"/>
      <c r="V919"/>
      <c r="W919"/>
      <c r="X919"/>
      <c r="Y919"/>
      <c r="Z919"/>
      <c r="AA919"/>
    </row>
    <row r="920" spans="1:27" s="17" customFormat="1" x14ac:dyDescent="0.35">
      <c r="A920" s="21"/>
      <c r="B920" s="21"/>
      <c r="D920" s="21"/>
      <c r="E920" s="21"/>
      <c r="H920" s="93"/>
      <c r="T920"/>
      <c r="U920"/>
      <c r="V920"/>
      <c r="W920"/>
      <c r="X920"/>
      <c r="Y920"/>
      <c r="Z920"/>
      <c r="AA920"/>
    </row>
    <row r="921" spans="1:27" s="17" customFormat="1" x14ac:dyDescent="0.35">
      <c r="A921" s="21"/>
      <c r="B921" s="21"/>
      <c r="D921" s="21"/>
      <c r="E921" s="21"/>
      <c r="H921" s="93"/>
      <c r="T921"/>
      <c r="U921"/>
      <c r="V921"/>
      <c r="W921"/>
      <c r="X921"/>
      <c r="Y921"/>
      <c r="Z921"/>
      <c r="AA921"/>
    </row>
    <row r="922" spans="1:27" s="17" customFormat="1" x14ac:dyDescent="0.35">
      <c r="A922" s="21"/>
      <c r="B922" s="21"/>
      <c r="D922" s="21"/>
      <c r="E922" s="21"/>
      <c r="H922" s="93"/>
      <c r="T922"/>
      <c r="U922"/>
      <c r="V922"/>
      <c r="W922"/>
      <c r="X922"/>
      <c r="Y922"/>
      <c r="Z922"/>
      <c r="AA922"/>
    </row>
    <row r="923" spans="1:27" s="17" customFormat="1" x14ac:dyDescent="0.35">
      <c r="A923" s="21"/>
      <c r="B923" s="21"/>
      <c r="D923" s="21"/>
      <c r="E923" s="21"/>
      <c r="H923" s="93"/>
      <c r="T923"/>
      <c r="U923"/>
      <c r="V923"/>
      <c r="W923"/>
      <c r="X923"/>
      <c r="Y923"/>
      <c r="Z923"/>
      <c r="AA923"/>
    </row>
    <row r="924" spans="1:27" s="17" customFormat="1" x14ac:dyDescent="0.35">
      <c r="A924" s="21"/>
      <c r="B924" s="21"/>
      <c r="D924" s="21"/>
      <c r="E924" s="21"/>
      <c r="H924" s="93"/>
      <c r="T924"/>
      <c r="U924"/>
      <c r="V924"/>
      <c r="W924"/>
      <c r="X924"/>
      <c r="Y924"/>
      <c r="Z924"/>
      <c r="AA924"/>
    </row>
    <row r="925" spans="1:27" s="17" customFormat="1" x14ac:dyDescent="0.35">
      <c r="A925" s="21"/>
      <c r="B925" s="21"/>
      <c r="D925" s="21"/>
      <c r="E925" s="21"/>
      <c r="H925" s="93"/>
      <c r="T925"/>
      <c r="U925"/>
      <c r="V925"/>
      <c r="W925"/>
      <c r="X925"/>
      <c r="Y925"/>
      <c r="Z925"/>
      <c r="AA925"/>
    </row>
    <row r="926" spans="1:27" s="17" customFormat="1" x14ac:dyDescent="0.35">
      <c r="A926" s="21"/>
      <c r="B926" s="21"/>
      <c r="D926" s="21"/>
      <c r="E926" s="21"/>
      <c r="H926" s="93"/>
      <c r="T926"/>
      <c r="U926"/>
      <c r="V926"/>
      <c r="W926"/>
      <c r="X926"/>
      <c r="Y926"/>
      <c r="Z926"/>
      <c r="AA926"/>
    </row>
    <row r="927" spans="1:27" s="17" customFormat="1" x14ac:dyDescent="0.35">
      <c r="A927" s="21"/>
      <c r="B927" s="21"/>
      <c r="D927" s="21"/>
      <c r="E927" s="21"/>
      <c r="H927" s="93"/>
      <c r="T927"/>
      <c r="U927"/>
      <c r="V927"/>
      <c r="W927"/>
      <c r="X927"/>
      <c r="Y927"/>
      <c r="Z927"/>
      <c r="AA927"/>
    </row>
    <row r="928" spans="1:27" s="17" customFormat="1" x14ac:dyDescent="0.35">
      <c r="A928" s="21"/>
      <c r="B928" s="21"/>
      <c r="D928" s="21"/>
      <c r="E928" s="21"/>
      <c r="H928" s="93"/>
      <c r="T928"/>
      <c r="U928"/>
      <c r="V928"/>
      <c r="W928"/>
      <c r="X928"/>
      <c r="Y928"/>
      <c r="Z928"/>
      <c r="AA928"/>
    </row>
    <row r="929" spans="1:27" s="17" customFormat="1" x14ac:dyDescent="0.35">
      <c r="A929" s="21"/>
      <c r="B929" s="21"/>
      <c r="D929" s="21"/>
      <c r="E929" s="21"/>
      <c r="H929" s="93"/>
      <c r="T929"/>
      <c r="U929"/>
      <c r="V929"/>
      <c r="W929"/>
      <c r="X929"/>
      <c r="Y929"/>
      <c r="Z929"/>
      <c r="AA929"/>
    </row>
    <row r="930" spans="1:27" s="17" customFormat="1" x14ac:dyDescent="0.35">
      <c r="A930" s="21"/>
      <c r="B930" s="21"/>
      <c r="D930" s="21"/>
      <c r="E930" s="21"/>
      <c r="H930" s="93"/>
      <c r="T930"/>
      <c r="U930"/>
      <c r="V930"/>
      <c r="W930"/>
      <c r="X930"/>
      <c r="Y930"/>
      <c r="Z930"/>
      <c r="AA930"/>
    </row>
    <row r="931" spans="1:27" s="17" customFormat="1" x14ac:dyDescent="0.35">
      <c r="A931" s="21"/>
      <c r="B931" s="21"/>
      <c r="D931" s="21"/>
      <c r="E931" s="21"/>
      <c r="H931" s="93"/>
      <c r="T931"/>
      <c r="U931"/>
      <c r="V931"/>
      <c r="W931"/>
      <c r="X931"/>
      <c r="Y931"/>
      <c r="Z931"/>
      <c r="AA931"/>
    </row>
    <row r="932" spans="1:27" s="17" customFormat="1" x14ac:dyDescent="0.35">
      <c r="A932" s="21"/>
      <c r="B932" s="21"/>
      <c r="D932" s="21"/>
      <c r="E932" s="21"/>
      <c r="H932" s="93"/>
      <c r="T932"/>
      <c r="U932"/>
      <c r="V932"/>
      <c r="W932"/>
      <c r="X932"/>
      <c r="Y932"/>
      <c r="Z932"/>
      <c r="AA932"/>
    </row>
    <row r="933" spans="1:27" s="17" customFormat="1" x14ac:dyDescent="0.35">
      <c r="A933" s="21"/>
      <c r="B933" s="21"/>
      <c r="D933" s="21"/>
      <c r="E933" s="21"/>
      <c r="H933" s="93"/>
      <c r="T933"/>
      <c r="U933"/>
      <c r="V933"/>
      <c r="W933"/>
      <c r="X933"/>
      <c r="Y933"/>
      <c r="Z933"/>
      <c r="AA933"/>
    </row>
    <row r="934" spans="1:27" s="17" customFormat="1" x14ac:dyDescent="0.35">
      <c r="A934" s="21"/>
      <c r="B934" s="21"/>
      <c r="D934" s="21"/>
      <c r="E934" s="21"/>
      <c r="H934" s="93"/>
      <c r="T934"/>
      <c r="U934"/>
      <c r="V934"/>
      <c r="W934"/>
      <c r="X934"/>
      <c r="Y934"/>
      <c r="Z934"/>
      <c r="AA934"/>
    </row>
    <row r="935" spans="1:27" s="17" customFormat="1" x14ac:dyDescent="0.35">
      <c r="A935" s="21"/>
      <c r="B935" s="21"/>
      <c r="D935" s="21"/>
      <c r="E935" s="21"/>
      <c r="H935" s="93"/>
      <c r="T935"/>
      <c r="U935"/>
      <c r="V935"/>
      <c r="W935"/>
      <c r="X935"/>
      <c r="Y935"/>
      <c r="Z935"/>
      <c r="AA935"/>
    </row>
    <row r="936" spans="1:27" s="17" customFormat="1" x14ac:dyDescent="0.35">
      <c r="A936" s="21"/>
      <c r="B936" s="21"/>
      <c r="D936" s="21"/>
      <c r="E936" s="21"/>
      <c r="H936" s="93"/>
      <c r="T936"/>
      <c r="U936"/>
      <c r="V936"/>
      <c r="W936"/>
      <c r="X936"/>
      <c r="Y936"/>
      <c r="Z936"/>
      <c r="AA936"/>
    </row>
    <row r="937" spans="1:27" s="17" customFormat="1" x14ac:dyDescent="0.35">
      <c r="A937" s="21"/>
      <c r="B937" s="21"/>
      <c r="D937" s="21"/>
      <c r="E937" s="21"/>
      <c r="H937" s="93"/>
      <c r="T937"/>
      <c r="U937"/>
      <c r="V937"/>
      <c r="W937"/>
      <c r="X937"/>
      <c r="Y937"/>
      <c r="Z937"/>
      <c r="AA937"/>
    </row>
    <row r="938" spans="1:27" s="17" customFormat="1" x14ac:dyDescent="0.35">
      <c r="A938" s="21"/>
      <c r="B938" s="21"/>
      <c r="D938" s="21"/>
      <c r="E938" s="21"/>
      <c r="H938" s="93"/>
      <c r="T938"/>
      <c r="U938"/>
      <c r="V938"/>
      <c r="W938"/>
      <c r="X938"/>
      <c r="Y938"/>
      <c r="Z938"/>
      <c r="AA938"/>
    </row>
    <row r="939" spans="1:27" s="17" customFormat="1" x14ac:dyDescent="0.35">
      <c r="A939" s="21"/>
      <c r="B939" s="21"/>
      <c r="D939" s="21"/>
      <c r="E939" s="21"/>
      <c r="H939" s="93"/>
      <c r="T939"/>
      <c r="U939"/>
      <c r="V939"/>
      <c r="W939"/>
      <c r="X939"/>
      <c r="Y939"/>
      <c r="Z939"/>
      <c r="AA939"/>
    </row>
    <row r="940" spans="1:27" s="17" customFormat="1" x14ac:dyDescent="0.35">
      <c r="A940" s="21"/>
      <c r="B940" s="21"/>
      <c r="D940" s="21"/>
      <c r="E940" s="21"/>
      <c r="H940" s="93"/>
      <c r="T940"/>
      <c r="U940"/>
      <c r="V940"/>
      <c r="W940"/>
      <c r="X940"/>
      <c r="Y940"/>
      <c r="Z940"/>
      <c r="AA940"/>
    </row>
    <row r="941" spans="1:27" s="17" customFormat="1" x14ac:dyDescent="0.35">
      <c r="A941" s="21"/>
      <c r="B941" s="21"/>
      <c r="D941" s="21"/>
      <c r="E941" s="21"/>
      <c r="H941" s="93"/>
      <c r="T941"/>
      <c r="U941"/>
      <c r="V941"/>
      <c r="W941"/>
      <c r="X941"/>
      <c r="Y941"/>
      <c r="Z941"/>
      <c r="AA941"/>
    </row>
    <row r="942" spans="1:27" s="17" customFormat="1" x14ac:dyDescent="0.35">
      <c r="A942" s="21"/>
      <c r="B942" s="21"/>
      <c r="D942" s="21"/>
      <c r="E942" s="21"/>
      <c r="H942" s="93"/>
      <c r="T942"/>
      <c r="U942"/>
      <c r="V942"/>
      <c r="W942"/>
      <c r="X942"/>
      <c r="Y942"/>
      <c r="Z942"/>
      <c r="AA942"/>
    </row>
    <row r="943" spans="1:27" s="17" customFormat="1" x14ac:dyDescent="0.35">
      <c r="A943" s="21"/>
      <c r="B943" s="21"/>
      <c r="D943" s="21"/>
      <c r="E943" s="21"/>
      <c r="H943" s="93"/>
      <c r="T943"/>
      <c r="U943"/>
      <c r="V943"/>
      <c r="W943"/>
      <c r="X943"/>
      <c r="Y943"/>
      <c r="Z943"/>
      <c r="AA943"/>
    </row>
    <row r="944" spans="1:27" s="17" customFormat="1" x14ac:dyDescent="0.35">
      <c r="A944" s="21"/>
      <c r="B944" s="21"/>
      <c r="D944" s="21"/>
      <c r="E944" s="21"/>
      <c r="H944" s="93"/>
      <c r="T944"/>
      <c r="U944"/>
      <c r="V944"/>
      <c r="W944"/>
      <c r="X944"/>
      <c r="Y944"/>
      <c r="Z944"/>
      <c r="AA944"/>
    </row>
    <row r="945" spans="1:27" s="17" customFormat="1" x14ac:dyDescent="0.35">
      <c r="A945" s="21"/>
      <c r="B945" s="21"/>
      <c r="D945" s="21"/>
      <c r="E945" s="21"/>
      <c r="H945" s="93"/>
      <c r="T945"/>
      <c r="U945"/>
      <c r="V945"/>
      <c r="W945"/>
      <c r="X945"/>
      <c r="Y945"/>
      <c r="Z945"/>
      <c r="AA945"/>
    </row>
    <row r="946" spans="1:27" s="17" customFormat="1" x14ac:dyDescent="0.35">
      <c r="A946" s="21"/>
      <c r="B946" s="21"/>
      <c r="D946" s="21"/>
      <c r="E946" s="21"/>
      <c r="H946" s="93"/>
      <c r="T946"/>
      <c r="U946"/>
      <c r="V946"/>
      <c r="W946"/>
      <c r="X946"/>
      <c r="Y946"/>
      <c r="Z946"/>
      <c r="AA946"/>
    </row>
    <row r="947" spans="1:27" s="17" customFormat="1" x14ac:dyDescent="0.35">
      <c r="A947" s="21"/>
      <c r="B947" s="21"/>
      <c r="D947" s="21"/>
      <c r="E947" s="21"/>
      <c r="H947" s="93"/>
      <c r="T947"/>
      <c r="U947"/>
      <c r="V947"/>
      <c r="W947"/>
      <c r="X947"/>
      <c r="Y947"/>
      <c r="Z947"/>
      <c r="AA947"/>
    </row>
    <row r="948" spans="1:27" s="17" customFormat="1" x14ac:dyDescent="0.35">
      <c r="A948" s="21"/>
      <c r="B948" s="21"/>
      <c r="D948" s="21"/>
      <c r="E948" s="21"/>
      <c r="H948" s="93"/>
      <c r="T948"/>
      <c r="U948"/>
      <c r="V948"/>
      <c r="W948"/>
      <c r="X948"/>
      <c r="Y948"/>
      <c r="Z948"/>
      <c r="AA948"/>
    </row>
    <row r="949" spans="1:27" s="17" customFormat="1" x14ac:dyDescent="0.35">
      <c r="A949" s="21"/>
      <c r="B949" s="21"/>
      <c r="D949" s="21"/>
      <c r="E949" s="21"/>
      <c r="H949" s="93"/>
      <c r="T949"/>
      <c r="U949"/>
      <c r="V949"/>
      <c r="W949"/>
      <c r="X949"/>
      <c r="Y949"/>
      <c r="Z949"/>
      <c r="AA949"/>
    </row>
    <row r="950" spans="1:27" s="17" customFormat="1" x14ac:dyDescent="0.35">
      <c r="A950" s="21"/>
      <c r="B950" s="21"/>
      <c r="D950" s="21"/>
      <c r="E950" s="21"/>
      <c r="H950" s="93"/>
      <c r="T950"/>
      <c r="U950"/>
      <c r="V950"/>
      <c r="W950"/>
      <c r="X950"/>
      <c r="Y950"/>
      <c r="Z950"/>
      <c r="AA950"/>
    </row>
    <row r="951" spans="1:27" s="17" customFormat="1" x14ac:dyDescent="0.35">
      <c r="A951" s="21"/>
      <c r="B951" s="21"/>
      <c r="D951" s="21"/>
      <c r="E951" s="21"/>
      <c r="H951" s="93"/>
      <c r="T951"/>
      <c r="U951"/>
      <c r="V951"/>
      <c r="W951"/>
      <c r="X951"/>
      <c r="Y951"/>
      <c r="Z951"/>
      <c r="AA951"/>
    </row>
    <row r="952" spans="1:27" s="17" customFormat="1" x14ac:dyDescent="0.35">
      <c r="A952" s="21"/>
      <c r="B952" s="21"/>
      <c r="D952" s="21"/>
      <c r="E952" s="21"/>
      <c r="H952" s="93"/>
      <c r="T952"/>
      <c r="U952"/>
      <c r="V952"/>
      <c r="W952"/>
      <c r="X952"/>
      <c r="Y952"/>
      <c r="Z952"/>
      <c r="AA952"/>
    </row>
    <row r="953" spans="1:27" s="17" customFormat="1" x14ac:dyDescent="0.35">
      <c r="A953" s="21"/>
      <c r="B953" s="21"/>
      <c r="D953" s="21"/>
      <c r="E953" s="21"/>
      <c r="H953" s="93"/>
      <c r="T953"/>
      <c r="U953"/>
      <c r="V953"/>
      <c r="W953"/>
      <c r="X953"/>
      <c r="Y953"/>
      <c r="Z953"/>
      <c r="AA953"/>
    </row>
    <row r="954" spans="1:27" s="17" customFormat="1" x14ac:dyDescent="0.35">
      <c r="A954" s="21"/>
      <c r="B954" s="21"/>
      <c r="D954" s="21"/>
      <c r="E954" s="21"/>
      <c r="H954" s="93"/>
      <c r="T954"/>
      <c r="U954"/>
      <c r="V954"/>
      <c r="W954"/>
      <c r="X954"/>
      <c r="Y954"/>
      <c r="Z954"/>
      <c r="AA954"/>
    </row>
    <row r="955" spans="1:27" s="17" customFormat="1" x14ac:dyDescent="0.35">
      <c r="A955" s="21"/>
      <c r="B955" s="21"/>
      <c r="D955" s="21"/>
      <c r="E955" s="21"/>
      <c r="H955" s="93"/>
      <c r="T955"/>
      <c r="U955"/>
      <c r="V955"/>
      <c r="W955"/>
      <c r="X955"/>
      <c r="Y955"/>
      <c r="Z955"/>
      <c r="AA955"/>
    </row>
    <row r="956" spans="1:27" s="17" customFormat="1" x14ac:dyDescent="0.35">
      <c r="A956" s="21"/>
      <c r="B956" s="21"/>
      <c r="D956" s="21"/>
      <c r="E956" s="21"/>
      <c r="H956" s="93"/>
      <c r="T956"/>
      <c r="U956"/>
      <c r="V956"/>
      <c r="W956"/>
      <c r="X956"/>
      <c r="Y956"/>
      <c r="Z956"/>
      <c r="AA956"/>
    </row>
    <row r="957" spans="1:27" s="17" customFormat="1" x14ac:dyDescent="0.35">
      <c r="A957" s="21"/>
      <c r="B957" s="21"/>
      <c r="D957" s="21"/>
      <c r="E957" s="21"/>
      <c r="H957" s="93"/>
      <c r="T957"/>
      <c r="U957"/>
      <c r="V957"/>
      <c r="W957"/>
      <c r="X957"/>
      <c r="Y957"/>
      <c r="Z957"/>
      <c r="AA957"/>
    </row>
    <row r="958" spans="1:27" s="17" customFormat="1" x14ac:dyDescent="0.35">
      <c r="A958" s="21"/>
      <c r="B958" s="21"/>
      <c r="D958" s="21"/>
      <c r="E958" s="21"/>
      <c r="H958" s="93"/>
      <c r="T958"/>
      <c r="U958"/>
      <c r="V958"/>
      <c r="W958"/>
      <c r="X958"/>
      <c r="Y958"/>
      <c r="Z958"/>
      <c r="AA958"/>
    </row>
    <row r="959" spans="1:27" s="17" customFormat="1" x14ac:dyDescent="0.35">
      <c r="A959" s="21"/>
      <c r="B959" s="21"/>
      <c r="D959" s="21"/>
      <c r="E959" s="21"/>
      <c r="H959" s="93"/>
      <c r="T959"/>
      <c r="U959"/>
      <c r="V959"/>
      <c r="W959"/>
      <c r="X959"/>
      <c r="Y959"/>
      <c r="Z959"/>
      <c r="AA959"/>
    </row>
    <row r="960" spans="1:27" s="17" customFormat="1" x14ac:dyDescent="0.35">
      <c r="A960" s="21"/>
      <c r="B960" s="21"/>
      <c r="D960" s="21"/>
      <c r="E960" s="21"/>
      <c r="H960" s="93"/>
      <c r="T960"/>
      <c r="U960"/>
      <c r="V960"/>
      <c r="W960"/>
      <c r="X960"/>
      <c r="Y960"/>
      <c r="Z960"/>
      <c r="AA960"/>
    </row>
    <row r="961" spans="1:27" s="17" customFormat="1" x14ac:dyDescent="0.35">
      <c r="A961" s="21"/>
      <c r="B961" s="21"/>
      <c r="D961" s="21"/>
      <c r="E961" s="21"/>
      <c r="H961" s="93"/>
      <c r="T961"/>
      <c r="U961"/>
      <c r="V961"/>
      <c r="W961"/>
      <c r="X961"/>
      <c r="Y961"/>
      <c r="Z961"/>
      <c r="AA961"/>
    </row>
    <row r="962" spans="1:27" s="17" customFormat="1" x14ac:dyDescent="0.35">
      <c r="A962" s="21"/>
      <c r="B962" s="21"/>
      <c r="D962" s="21"/>
      <c r="E962" s="21"/>
      <c r="H962" s="93"/>
      <c r="T962"/>
      <c r="U962"/>
      <c r="V962"/>
      <c r="W962"/>
      <c r="X962"/>
      <c r="Y962"/>
      <c r="Z962"/>
      <c r="AA962"/>
    </row>
    <row r="963" spans="1:27" s="17" customFormat="1" x14ac:dyDescent="0.35">
      <c r="A963" s="21"/>
      <c r="B963" s="21"/>
      <c r="D963" s="21"/>
      <c r="E963" s="21"/>
      <c r="H963" s="93"/>
      <c r="T963"/>
      <c r="U963"/>
      <c r="V963"/>
      <c r="W963"/>
      <c r="X963"/>
      <c r="Y963"/>
      <c r="Z963"/>
      <c r="AA963"/>
    </row>
    <row r="964" spans="1:27" s="17" customFormat="1" x14ac:dyDescent="0.35">
      <c r="A964" s="21"/>
      <c r="B964" s="21"/>
      <c r="D964" s="21"/>
      <c r="E964" s="21"/>
      <c r="H964" s="93"/>
      <c r="T964"/>
      <c r="U964"/>
      <c r="V964"/>
      <c r="W964"/>
      <c r="X964"/>
      <c r="Y964"/>
      <c r="Z964"/>
      <c r="AA964"/>
    </row>
    <row r="965" spans="1:27" s="17" customFormat="1" x14ac:dyDescent="0.35">
      <c r="A965" s="21"/>
      <c r="B965" s="21"/>
      <c r="D965" s="21"/>
      <c r="E965" s="21"/>
      <c r="H965" s="93"/>
      <c r="T965"/>
      <c r="U965"/>
      <c r="V965"/>
      <c r="W965"/>
      <c r="X965"/>
      <c r="Y965"/>
      <c r="Z965"/>
      <c r="AA965"/>
    </row>
    <row r="966" spans="1:27" s="17" customFormat="1" x14ac:dyDescent="0.35">
      <c r="A966" s="21"/>
      <c r="B966" s="21"/>
      <c r="D966" s="21"/>
      <c r="E966" s="21"/>
      <c r="H966" s="93"/>
      <c r="T966"/>
      <c r="U966"/>
      <c r="V966"/>
      <c r="W966"/>
      <c r="X966"/>
      <c r="Y966"/>
      <c r="Z966"/>
      <c r="AA966"/>
    </row>
    <row r="967" spans="1:27" s="17" customFormat="1" x14ac:dyDescent="0.35">
      <c r="A967" s="21"/>
      <c r="B967" s="21"/>
      <c r="D967" s="21"/>
      <c r="E967" s="21"/>
      <c r="H967" s="93"/>
      <c r="T967"/>
      <c r="U967"/>
      <c r="V967"/>
      <c r="W967"/>
      <c r="X967"/>
      <c r="Y967"/>
      <c r="Z967"/>
      <c r="AA967"/>
    </row>
    <row r="968" spans="1:27" s="17" customFormat="1" x14ac:dyDescent="0.35">
      <c r="A968" s="21"/>
      <c r="B968" s="21"/>
      <c r="D968" s="21"/>
      <c r="E968" s="21"/>
      <c r="H968" s="93"/>
      <c r="T968"/>
      <c r="U968"/>
      <c r="V968"/>
      <c r="W968"/>
      <c r="X968"/>
      <c r="Y968"/>
      <c r="Z968"/>
      <c r="AA968"/>
    </row>
    <row r="969" spans="1:27" s="17" customFormat="1" x14ac:dyDescent="0.35">
      <c r="A969" s="21"/>
      <c r="B969" s="21"/>
      <c r="D969" s="21"/>
      <c r="E969" s="21"/>
      <c r="H969" s="93"/>
      <c r="T969"/>
      <c r="U969"/>
      <c r="V969"/>
      <c r="W969"/>
      <c r="X969"/>
      <c r="Y969"/>
      <c r="Z969"/>
      <c r="AA969"/>
    </row>
    <row r="970" spans="1:27" s="17" customFormat="1" x14ac:dyDescent="0.35">
      <c r="A970" s="21"/>
      <c r="B970" s="21"/>
      <c r="D970" s="21"/>
      <c r="E970" s="21"/>
      <c r="H970" s="93"/>
      <c r="T970"/>
      <c r="U970"/>
      <c r="V970"/>
      <c r="W970"/>
      <c r="X970"/>
      <c r="Y970"/>
      <c r="Z970"/>
      <c r="AA970"/>
    </row>
    <row r="971" spans="1:27" s="17" customFormat="1" x14ac:dyDescent="0.35">
      <c r="A971" s="21"/>
      <c r="B971" s="21"/>
      <c r="D971" s="21"/>
      <c r="E971" s="21"/>
      <c r="H971" s="93"/>
      <c r="T971"/>
      <c r="U971"/>
      <c r="V971"/>
      <c r="W971"/>
      <c r="X971"/>
      <c r="Y971"/>
      <c r="Z971"/>
      <c r="AA971"/>
    </row>
    <row r="972" spans="1:27" s="17" customFormat="1" x14ac:dyDescent="0.35">
      <c r="A972" s="21"/>
      <c r="B972" s="21"/>
      <c r="D972" s="21"/>
      <c r="E972" s="21"/>
      <c r="H972" s="93"/>
      <c r="T972"/>
      <c r="U972"/>
      <c r="V972"/>
      <c r="W972"/>
      <c r="X972"/>
      <c r="Y972"/>
      <c r="Z972"/>
      <c r="AA972"/>
    </row>
    <row r="973" spans="1:27" s="17" customFormat="1" x14ac:dyDescent="0.35">
      <c r="A973" s="21"/>
      <c r="B973" s="21"/>
      <c r="D973" s="21"/>
      <c r="E973" s="21"/>
      <c r="H973" s="93"/>
      <c r="T973"/>
      <c r="U973"/>
      <c r="V973"/>
      <c r="W973"/>
      <c r="X973"/>
      <c r="Y973"/>
      <c r="Z973"/>
      <c r="AA973"/>
    </row>
    <row r="974" spans="1:27" s="17" customFormat="1" x14ac:dyDescent="0.35">
      <c r="A974" s="21"/>
      <c r="B974" s="21"/>
      <c r="D974" s="21"/>
      <c r="E974" s="21"/>
      <c r="H974" s="93"/>
      <c r="T974"/>
      <c r="U974"/>
      <c r="V974"/>
      <c r="W974"/>
      <c r="X974"/>
      <c r="Y974"/>
      <c r="Z974"/>
      <c r="AA974"/>
    </row>
    <row r="975" spans="1:27" s="17" customFormat="1" x14ac:dyDescent="0.35">
      <c r="A975" s="21"/>
      <c r="B975" s="21"/>
      <c r="D975" s="21"/>
      <c r="E975" s="21"/>
      <c r="H975" s="93"/>
      <c r="T975"/>
      <c r="U975"/>
      <c r="V975"/>
      <c r="W975"/>
      <c r="X975"/>
      <c r="Y975"/>
      <c r="Z975"/>
      <c r="AA975"/>
    </row>
    <row r="976" spans="1:27" s="17" customFormat="1" x14ac:dyDescent="0.35">
      <c r="A976" s="21"/>
      <c r="B976" s="21"/>
      <c r="D976" s="21"/>
      <c r="E976" s="21"/>
      <c r="H976" s="93"/>
      <c r="T976"/>
      <c r="U976"/>
      <c r="V976"/>
      <c r="W976"/>
      <c r="X976"/>
      <c r="Y976"/>
      <c r="Z976"/>
      <c r="AA976"/>
    </row>
    <row r="977" spans="1:27" s="17" customFormat="1" x14ac:dyDescent="0.35">
      <c r="A977" s="21"/>
      <c r="B977" s="21"/>
      <c r="D977" s="21"/>
      <c r="E977" s="21"/>
      <c r="H977" s="93"/>
      <c r="T977"/>
      <c r="U977"/>
      <c r="V977"/>
      <c r="W977"/>
      <c r="X977"/>
      <c r="Y977"/>
      <c r="Z977"/>
      <c r="AA977"/>
    </row>
    <row r="978" spans="1:27" s="17" customFormat="1" x14ac:dyDescent="0.35">
      <c r="A978" s="21"/>
      <c r="B978" s="21"/>
      <c r="D978" s="21"/>
      <c r="E978" s="21"/>
      <c r="H978" s="93"/>
      <c r="T978"/>
      <c r="U978"/>
      <c r="V978"/>
      <c r="W978"/>
      <c r="X978"/>
      <c r="Y978"/>
      <c r="Z978"/>
      <c r="AA978"/>
    </row>
    <row r="979" spans="1:27" s="17" customFormat="1" x14ac:dyDescent="0.35">
      <c r="A979" s="21"/>
      <c r="B979" s="21"/>
      <c r="D979" s="21"/>
      <c r="E979" s="21"/>
      <c r="H979" s="93"/>
      <c r="T979"/>
      <c r="U979"/>
      <c r="V979"/>
      <c r="W979"/>
      <c r="X979"/>
      <c r="Y979"/>
      <c r="Z979"/>
      <c r="AA979"/>
    </row>
    <row r="980" spans="1:27" s="17" customFormat="1" x14ac:dyDescent="0.35">
      <c r="A980" s="21"/>
      <c r="B980" s="21"/>
      <c r="D980" s="21"/>
      <c r="E980" s="21"/>
      <c r="H980" s="93"/>
      <c r="T980"/>
      <c r="U980"/>
      <c r="V980"/>
      <c r="W980"/>
      <c r="X980"/>
      <c r="Y980"/>
      <c r="Z980"/>
      <c r="AA980"/>
    </row>
    <row r="981" spans="1:27" s="17" customFormat="1" x14ac:dyDescent="0.35">
      <c r="A981" s="21"/>
      <c r="B981" s="21"/>
      <c r="D981" s="21"/>
      <c r="E981" s="21"/>
      <c r="H981" s="93"/>
      <c r="T981"/>
      <c r="U981"/>
      <c r="V981"/>
      <c r="W981"/>
      <c r="X981"/>
      <c r="Y981"/>
      <c r="Z981"/>
      <c r="AA981"/>
    </row>
    <row r="982" spans="1:27" s="17" customFormat="1" x14ac:dyDescent="0.35">
      <c r="A982" s="21"/>
      <c r="B982" s="21"/>
      <c r="D982" s="21"/>
      <c r="E982" s="21"/>
      <c r="H982" s="93"/>
      <c r="T982"/>
      <c r="U982"/>
      <c r="V982"/>
      <c r="W982"/>
      <c r="X982"/>
      <c r="Y982"/>
      <c r="Z982"/>
      <c r="AA982"/>
    </row>
    <row r="983" spans="1:27" s="17" customFormat="1" x14ac:dyDescent="0.35">
      <c r="A983" s="21"/>
      <c r="B983" s="21"/>
      <c r="D983" s="21"/>
      <c r="E983" s="21"/>
      <c r="H983" s="93"/>
      <c r="T983"/>
      <c r="U983"/>
      <c r="V983"/>
      <c r="W983"/>
      <c r="X983"/>
      <c r="Y983"/>
      <c r="Z983"/>
      <c r="AA983"/>
    </row>
    <row r="984" spans="1:27" s="17" customFormat="1" x14ac:dyDescent="0.35">
      <c r="A984" s="21"/>
      <c r="B984" s="21"/>
      <c r="D984" s="21"/>
      <c r="E984" s="21"/>
      <c r="H984" s="93"/>
      <c r="T984"/>
      <c r="U984"/>
      <c r="V984"/>
      <c r="W984"/>
      <c r="X984"/>
      <c r="Y984"/>
      <c r="Z984"/>
      <c r="AA984"/>
    </row>
    <row r="985" spans="1:27" s="17" customFormat="1" x14ac:dyDescent="0.35">
      <c r="A985" s="21"/>
      <c r="B985" s="21"/>
      <c r="D985" s="21"/>
      <c r="E985" s="21"/>
      <c r="H985" s="93"/>
      <c r="T985"/>
      <c r="U985"/>
      <c r="V985"/>
      <c r="W985"/>
      <c r="X985"/>
      <c r="Y985"/>
      <c r="Z985"/>
      <c r="AA985"/>
    </row>
    <row r="986" spans="1:27" s="17" customFormat="1" x14ac:dyDescent="0.35">
      <c r="A986" s="21"/>
      <c r="B986" s="21"/>
      <c r="D986" s="21"/>
      <c r="E986" s="21"/>
      <c r="H986" s="93"/>
      <c r="T986"/>
      <c r="U986"/>
      <c r="V986"/>
      <c r="W986"/>
      <c r="X986"/>
      <c r="Y986"/>
      <c r="Z986"/>
      <c r="AA986"/>
    </row>
    <row r="987" spans="1:27" s="17" customFormat="1" x14ac:dyDescent="0.35">
      <c r="A987" s="21"/>
      <c r="B987" s="21"/>
      <c r="D987" s="21"/>
      <c r="E987" s="21"/>
      <c r="H987" s="93"/>
      <c r="T987"/>
      <c r="U987"/>
      <c r="V987"/>
      <c r="W987"/>
      <c r="X987"/>
      <c r="Y987"/>
      <c r="Z987"/>
      <c r="AA987"/>
    </row>
    <row r="988" spans="1:27" s="17" customFormat="1" x14ac:dyDescent="0.35">
      <c r="A988" s="21"/>
      <c r="B988" s="21"/>
      <c r="D988" s="21"/>
      <c r="E988" s="21"/>
      <c r="H988" s="93"/>
      <c r="T988"/>
      <c r="U988"/>
      <c r="V988"/>
      <c r="W988"/>
      <c r="X988"/>
      <c r="Y988"/>
      <c r="Z988"/>
      <c r="AA988"/>
    </row>
    <row r="989" spans="1:27" s="17" customFormat="1" x14ac:dyDescent="0.35">
      <c r="A989" s="21"/>
      <c r="B989" s="21"/>
      <c r="D989" s="21"/>
      <c r="E989" s="21"/>
      <c r="H989" s="93"/>
      <c r="T989"/>
      <c r="U989"/>
      <c r="V989"/>
      <c r="W989"/>
      <c r="X989"/>
      <c r="Y989"/>
      <c r="Z989"/>
      <c r="AA989"/>
    </row>
    <row r="990" spans="1:27" s="17" customFormat="1" x14ac:dyDescent="0.35">
      <c r="A990" s="21"/>
      <c r="B990" s="21"/>
      <c r="D990" s="21"/>
      <c r="E990" s="21"/>
      <c r="H990" s="93"/>
      <c r="T990"/>
      <c r="U990"/>
      <c r="V990"/>
      <c r="W990"/>
      <c r="X990"/>
      <c r="Y990"/>
      <c r="Z990"/>
      <c r="AA990"/>
    </row>
    <row r="991" spans="1:27" s="17" customFormat="1" x14ac:dyDescent="0.35">
      <c r="A991" s="21"/>
      <c r="B991" s="21"/>
      <c r="D991" s="21"/>
      <c r="E991" s="21"/>
      <c r="H991" s="93"/>
      <c r="T991"/>
      <c r="U991"/>
      <c r="V991"/>
      <c r="W991"/>
      <c r="X991"/>
      <c r="Y991"/>
      <c r="Z991"/>
      <c r="AA991"/>
    </row>
    <row r="992" spans="1:27" s="17" customFormat="1" x14ac:dyDescent="0.35">
      <c r="A992" s="21"/>
      <c r="B992" s="21"/>
      <c r="D992" s="21"/>
      <c r="E992" s="21"/>
      <c r="H992" s="93"/>
      <c r="T992"/>
      <c r="U992"/>
      <c r="V992"/>
      <c r="W992"/>
      <c r="X992"/>
      <c r="Y992"/>
      <c r="Z992"/>
      <c r="AA992"/>
    </row>
    <row r="993" spans="1:27" s="17" customFormat="1" x14ac:dyDescent="0.35">
      <c r="A993" s="21"/>
      <c r="B993" s="21"/>
      <c r="D993" s="21"/>
      <c r="E993" s="21"/>
      <c r="H993" s="93"/>
      <c r="T993"/>
      <c r="U993"/>
      <c r="V993"/>
      <c r="W993"/>
      <c r="X993"/>
      <c r="Y993"/>
      <c r="Z993"/>
      <c r="AA993"/>
    </row>
    <row r="994" spans="1:27" s="17" customFormat="1" x14ac:dyDescent="0.35">
      <c r="A994" s="21"/>
      <c r="B994" s="21"/>
      <c r="D994" s="21"/>
      <c r="E994" s="21"/>
      <c r="H994" s="93"/>
      <c r="T994"/>
      <c r="U994"/>
      <c r="V994"/>
      <c r="W994"/>
      <c r="X994"/>
      <c r="Y994"/>
      <c r="Z994"/>
      <c r="AA994"/>
    </row>
    <row r="995" spans="1:27" s="17" customFormat="1" x14ac:dyDescent="0.35">
      <c r="A995" s="21"/>
      <c r="B995" s="21"/>
      <c r="D995" s="21"/>
      <c r="E995" s="21"/>
      <c r="H995" s="93"/>
      <c r="T995"/>
      <c r="U995"/>
      <c r="V995"/>
      <c r="W995"/>
      <c r="X995"/>
      <c r="Y995"/>
      <c r="Z995"/>
      <c r="AA995"/>
    </row>
    <row r="996" spans="1:27" s="17" customFormat="1" x14ac:dyDescent="0.35">
      <c r="A996" s="21"/>
      <c r="B996" s="21"/>
      <c r="D996" s="21"/>
      <c r="E996" s="21"/>
      <c r="H996" s="93"/>
      <c r="T996"/>
      <c r="U996"/>
      <c r="V996"/>
      <c r="W996"/>
      <c r="X996"/>
      <c r="Y996"/>
      <c r="Z996"/>
      <c r="AA996"/>
    </row>
    <row r="997" spans="1:27" s="17" customFormat="1" x14ac:dyDescent="0.35">
      <c r="A997" s="21"/>
      <c r="B997" s="21"/>
      <c r="D997" s="21"/>
      <c r="E997" s="21"/>
      <c r="H997" s="93"/>
      <c r="T997"/>
      <c r="U997"/>
      <c r="V997"/>
      <c r="W997"/>
      <c r="X997"/>
      <c r="Y997"/>
      <c r="Z997"/>
      <c r="AA997"/>
    </row>
    <row r="998" spans="1:27" s="17" customFormat="1" x14ac:dyDescent="0.35">
      <c r="A998" s="21"/>
      <c r="B998" s="21"/>
      <c r="D998" s="21"/>
      <c r="E998" s="21"/>
      <c r="H998" s="93"/>
      <c r="T998"/>
      <c r="U998"/>
      <c r="V998"/>
      <c r="W998"/>
      <c r="X998"/>
      <c r="Y998"/>
      <c r="Z998"/>
      <c r="AA998"/>
    </row>
    <row r="999" spans="1:27" s="17" customFormat="1" x14ac:dyDescent="0.35">
      <c r="A999" s="21"/>
      <c r="B999" s="21"/>
      <c r="D999" s="21"/>
      <c r="E999" s="21"/>
      <c r="H999" s="93"/>
      <c r="T999"/>
      <c r="U999"/>
      <c r="V999"/>
      <c r="W999"/>
      <c r="X999"/>
      <c r="Y999"/>
      <c r="Z999"/>
      <c r="AA999"/>
    </row>
    <row r="1000" spans="1:27" s="17" customFormat="1" x14ac:dyDescent="0.35">
      <c r="A1000" s="21"/>
      <c r="B1000" s="21"/>
      <c r="D1000" s="21"/>
      <c r="E1000" s="21"/>
      <c r="H1000" s="93"/>
      <c r="T1000"/>
      <c r="U1000"/>
      <c r="V1000"/>
      <c r="W1000"/>
      <c r="X1000"/>
      <c r="Y1000"/>
      <c r="Z1000"/>
      <c r="AA1000"/>
    </row>
    <row r="1001" spans="1:27" s="17" customFormat="1" x14ac:dyDescent="0.35">
      <c r="A1001" s="21"/>
      <c r="B1001" s="21"/>
      <c r="D1001" s="21"/>
      <c r="E1001" s="21"/>
      <c r="H1001" s="93"/>
      <c r="T1001"/>
      <c r="U1001"/>
      <c r="V1001"/>
      <c r="W1001"/>
      <c r="X1001"/>
      <c r="Y1001"/>
      <c r="Z1001"/>
      <c r="AA1001"/>
    </row>
    <row r="1002" spans="1:27" s="17" customFormat="1" x14ac:dyDescent="0.35">
      <c r="A1002" s="21"/>
      <c r="B1002" s="21"/>
      <c r="D1002" s="21"/>
      <c r="E1002" s="21"/>
      <c r="H1002" s="93"/>
      <c r="T1002"/>
      <c r="U1002"/>
      <c r="V1002"/>
      <c r="W1002"/>
      <c r="X1002"/>
      <c r="Y1002"/>
      <c r="Z1002"/>
      <c r="AA1002"/>
    </row>
    <row r="1003" spans="1:27" s="17" customFormat="1" x14ac:dyDescent="0.35">
      <c r="A1003" s="21"/>
      <c r="B1003" s="21"/>
      <c r="D1003" s="21"/>
      <c r="E1003" s="21"/>
      <c r="H1003" s="93"/>
      <c r="T1003"/>
      <c r="U1003"/>
      <c r="V1003"/>
      <c r="W1003"/>
      <c r="X1003"/>
      <c r="Y1003"/>
      <c r="Z1003"/>
      <c r="AA1003"/>
    </row>
    <row r="1004" spans="1:27" s="17" customFormat="1" x14ac:dyDescent="0.35">
      <c r="A1004" s="21"/>
      <c r="B1004" s="21"/>
      <c r="D1004" s="21"/>
      <c r="E1004" s="21"/>
      <c r="H1004" s="93"/>
      <c r="T1004"/>
      <c r="U1004"/>
      <c r="V1004"/>
      <c r="W1004"/>
      <c r="X1004"/>
      <c r="Y1004"/>
      <c r="Z1004"/>
      <c r="AA1004"/>
    </row>
    <row r="1005" spans="1:27" s="17" customFormat="1" x14ac:dyDescent="0.35">
      <c r="A1005" s="21"/>
      <c r="B1005" s="21"/>
      <c r="D1005" s="21"/>
      <c r="E1005" s="21"/>
      <c r="H1005" s="93"/>
      <c r="T1005"/>
      <c r="U1005"/>
      <c r="V1005"/>
      <c r="W1005"/>
      <c r="X1005"/>
      <c r="Y1005"/>
      <c r="Z1005"/>
      <c r="AA1005"/>
    </row>
    <row r="1006" spans="1:27" s="17" customFormat="1" x14ac:dyDescent="0.35">
      <c r="A1006" s="21"/>
      <c r="B1006" s="21"/>
      <c r="D1006" s="21"/>
      <c r="E1006" s="21"/>
      <c r="H1006" s="93"/>
      <c r="T1006"/>
      <c r="U1006"/>
      <c r="V1006"/>
      <c r="W1006"/>
      <c r="X1006"/>
      <c r="Y1006"/>
      <c r="Z1006"/>
      <c r="AA1006"/>
    </row>
    <row r="1007" spans="1:27" s="17" customFormat="1" x14ac:dyDescent="0.35">
      <c r="A1007" s="21"/>
      <c r="B1007" s="21"/>
      <c r="D1007" s="21"/>
      <c r="E1007" s="21"/>
      <c r="H1007" s="93"/>
      <c r="T1007"/>
      <c r="U1007"/>
      <c r="V1007"/>
      <c r="W1007"/>
      <c r="X1007"/>
      <c r="Y1007"/>
      <c r="Z1007"/>
      <c r="AA1007"/>
    </row>
    <row r="1008" spans="1:27" s="17" customFormat="1" x14ac:dyDescent="0.35">
      <c r="A1008" s="21"/>
      <c r="B1008" s="21"/>
      <c r="D1008" s="21"/>
      <c r="E1008" s="21"/>
      <c r="H1008" s="93"/>
      <c r="T1008"/>
      <c r="U1008"/>
      <c r="V1008"/>
      <c r="W1008"/>
      <c r="X1008"/>
      <c r="Y1008"/>
      <c r="Z1008"/>
      <c r="AA1008"/>
    </row>
    <row r="1009" spans="1:27" s="17" customFormat="1" x14ac:dyDescent="0.35">
      <c r="A1009" s="21"/>
      <c r="B1009" s="21"/>
      <c r="D1009" s="21"/>
      <c r="E1009" s="21"/>
      <c r="H1009" s="93"/>
      <c r="T1009"/>
      <c r="U1009"/>
      <c r="V1009"/>
      <c r="W1009"/>
      <c r="X1009"/>
      <c r="Y1009"/>
      <c r="Z1009"/>
      <c r="AA1009"/>
    </row>
    <row r="1010" spans="1:27" s="17" customFormat="1" x14ac:dyDescent="0.35">
      <c r="A1010" s="21"/>
      <c r="B1010" s="21"/>
      <c r="D1010" s="21"/>
      <c r="E1010" s="21"/>
      <c r="H1010" s="93"/>
      <c r="T1010"/>
      <c r="U1010"/>
      <c r="V1010"/>
      <c r="W1010"/>
      <c r="X1010"/>
      <c r="Y1010"/>
      <c r="Z1010"/>
      <c r="AA1010"/>
    </row>
    <row r="1011" spans="1:27" s="17" customFormat="1" x14ac:dyDescent="0.35">
      <c r="A1011" s="21"/>
      <c r="B1011" s="21"/>
      <c r="D1011" s="21"/>
      <c r="E1011" s="21"/>
      <c r="H1011" s="93"/>
      <c r="T1011"/>
      <c r="U1011"/>
      <c r="V1011"/>
      <c r="W1011"/>
      <c r="X1011"/>
      <c r="Y1011"/>
      <c r="Z1011"/>
      <c r="AA1011"/>
    </row>
    <row r="1012" spans="1:27" s="17" customFormat="1" x14ac:dyDescent="0.35">
      <c r="A1012" s="21"/>
      <c r="B1012" s="21"/>
      <c r="D1012" s="21"/>
      <c r="E1012" s="21"/>
      <c r="H1012" s="93"/>
      <c r="T1012"/>
      <c r="U1012"/>
      <c r="V1012"/>
      <c r="W1012"/>
      <c r="X1012"/>
      <c r="Y1012"/>
      <c r="Z1012"/>
      <c r="AA1012"/>
    </row>
    <row r="1013" spans="1:27" s="17" customFormat="1" x14ac:dyDescent="0.35">
      <c r="A1013" s="21"/>
      <c r="B1013" s="21"/>
      <c r="D1013" s="21"/>
      <c r="E1013" s="21"/>
      <c r="H1013" s="93"/>
      <c r="T1013"/>
      <c r="U1013"/>
      <c r="V1013"/>
      <c r="W1013"/>
      <c r="X1013"/>
      <c r="Y1013"/>
      <c r="Z1013"/>
      <c r="AA1013"/>
    </row>
    <row r="1014" spans="1:27" s="17" customFormat="1" x14ac:dyDescent="0.35">
      <c r="A1014" s="21"/>
      <c r="B1014" s="21"/>
      <c r="D1014" s="21"/>
      <c r="E1014" s="21"/>
      <c r="H1014" s="93"/>
      <c r="T1014"/>
      <c r="U1014"/>
      <c r="V1014"/>
      <c r="W1014"/>
      <c r="X1014"/>
      <c r="Y1014"/>
      <c r="Z1014"/>
      <c r="AA1014"/>
    </row>
    <row r="1015" spans="1:27" s="17" customFormat="1" x14ac:dyDescent="0.35">
      <c r="A1015" s="21"/>
      <c r="B1015" s="21"/>
      <c r="D1015" s="21"/>
      <c r="E1015" s="21"/>
      <c r="H1015" s="93"/>
      <c r="T1015"/>
      <c r="U1015"/>
      <c r="V1015"/>
      <c r="W1015"/>
      <c r="X1015"/>
      <c r="Y1015"/>
      <c r="Z1015"/>
      <c r="AA1015"/>
    </row>
    <row r="1016" spans="1:27" s="17" customFormat="1" x14ac:dyDescent="0.35">
      <c r="A1016" s="21"/>
      <c r="B1016" s="21"/>
      <c r="D1016" s="21"/>
      <c r="E1016" s="21"/>
      <c r="H1016" s="93"/>
      <c r="T1016"/>
      <c r="U1016"/>
      <c r="V1016"/>
      <c r="W1016"/>
      <c r="X1016"/>
      <c r="Y1016"/>
      <c r="Z1016"/>
      <c r="AA1016"/>
    </row>
    <row r="1017" spans="1:27" s="17" customFormat="1" x14ac:dyDescent="0.35">
      <c r="A1017" s="21"/>
      <c r="B1017" s="21"/>
      <c r="D1017" s="21"/>
      <c r="E1017" s="21"/>
      <c r="H1017" s="93"/>
      <c r="T1017"/>
      <c r="U1017"/>
      <c r="V1017"/>
      <c r="W1017"/>
      <c r="X1017"/>
      <c r="Y1017"/>
      <c r="Z1017"/>
      <c r="AA1017"/>
    </row>
    <row r="1018" spans="1:27" s="17" customFormat="1" x14ac:dyDescent="0.35">
      <c r="A1018" s="21"/>
      <c r="B1018" s="21"/>
      <c r="D1018" s="21"/>
      <c r="E1018" s="21"/>
      <c r="H1018" s="93"/>
      <c r="T1018"/>
      <c r="U1018"/>
      <c r="V1018"/>
      <c r="W1018"/>
      <c r="X1018"/>
      <c r="Y1018"/>
      <c r="Z1018"/>
      <c r="AA1018"/>
    </row>
    <row r="1019" spans="1:27" s="17" customFormat="1" x14ac:dyDescent="0.35">
      <c r="A1019" s="21"/>
      <c r="B1019" s="21"/>
      <c r="D1019" s="21"/>
      <c r="E1019" s="21"/>
      <c r="H1019" s="93"/>
      <c r="T1019"/>
      <c r="U1019"/>
      <c r="V1019"/>
      <c r="W1019"/>
      <c r="X1019"/>
      <c r="Y1019"/>
      <c r="Z1019"/>
      <c r="AA1019"/>
    </row>
    <row r="1020" spans="1:27" s="17" customFormat="1" x14ac:dyDescent="0.35">
      <c r="A1020" s="21"/>
      <c r="B1020" s="21"/>
      <c r="D1020" s="21"/>
      <c r="E1020" s="21"/>
      <c r="H1020" s="93"/>
      <c r="T1020"/>
      <c r="U1020"/>
      <c r="V1020"/>
      <c r="W1020"/>
      <c r="X1020"/>
      <c r="Y1020"/>
      <c r="Z1020"/>
      <c r="AA1020"/>
    </row>
    <row r="1021" spans="1:27" s="17" customFormat="1" x14ac:dyDescent="0.35">
      <c r="A1021" s="21"/>
      <c r="B1021" s="21"/>
      <c r="D1021" s="21"/>
      <c r="E1021" s="21"/>
      <c r="H1021" s="93"/>
      <c r="T1021"/>
      <c r="U1021"/>
      <c r="V1021"/>
      <c r="W1021"/>
      <c r="X1021"/>
      <c r="Y1021"/>
      <c r="Z1021"/>
      <c r="AA1021"/>
    </row>
    <row r="1022" spans="1:27" s="17" customFormat="1" x14ac:dyDescent="0.35">
      <c r="A1022" s="21"/>
      <c r="B1022" s="21"/>
      <c r="D1022" s="21"/>
      <c r="E1022" s="21"/>
      <c r="H1022" s="93"/>
      <c r="T1022"/>
      <c r="U1022"/>
      <c r="V1022"/>
      <c r="W1022"/>
      <c r="X1022"/>
      <c r="Y1022"/>
      <c r="Z1022"/>
      <c r="AA1022"/>
    </row>
    <row r="1023" spans="1:27" s="17" customFormat="1" x14ac:dyDescent="0.35">
      <c r="A1023" s="21"/>
      <c r="B1023" s="21"/>
      <c r="D1023" s="21"/>
      <c r="E1023" s="21"/>
      <c r="H1023" s="93"/>
      <c r="T1023"/>
      <c r="U1023"/>
      <c r="V1023"/>
      <c r="W1023"/>
      <c r="X1023"/>
      <c r="Y1023"/>
      <c r="Z1023"/>
      <c r="AA1023"/>
    </row>
    <row r="1024" spans="1:27" s="17" customFormat="1" x14ac:dyDescent="0.35">
      <c r="A1024" s="21"/>
      <c r="B1024" s="21"/>
      <c r="D1024" s="21"/>
      <c r="E1024" s="21"/>
      <c r="H1024" s="93"/>
      <c r="T1024"/>
      <c r="U1024"/>
      <c r="V1024"/>
      <c r="W1024"/>
      <c r="X1024"/>
      <c r="Y1024"/>
      <c r="Z1024"/>
      <c r="AA1024"/>
    </row>
    <row r="1025" spans="1:27" s="17" customFormat="1" x14ac:dyDescent="0.35">
      <c r="A1025" s="21"/>
      <c r="B1025" s="21"/>
      <c r="D1025" s="21"/>
      <c r="E1025" s="21"/>
      <c r="H1025" s="93"/>
      <c r="T1025"/>
      <c r="U1025"/>
      <c r="V1025"/>
      <c r="W1025"/>
      <c r="X1025"/>
      <c r="Y1025"/>
      <c r="Z1025"/>
      <c r="AA1025"/>
    </row>
    <row r="1026" spans="1:27" s="17" customFormat="1" x14ac:dyDescent="0.35">
      <c r="A1026" s="21"/>
      <c r="B1026" s="21"/>
      <c r="D1026" s="21"/>
      <c r="E1026" s="21"/>
      <c r="H1026" s="93"/>
      <c r="T1026"/>
      <c r="U1026"/>
      <c r="V1026"/>
      <c r="W1026"/>
      <c r="X1026"/>
      <c r="Y1026"/>
      <c r="Z1026"/>
      <c r="AA1026"/>
    </row>
    <row r="1027" spans="1:27" s="17" customFormat="1" x14ac:dyDescent="0.35">
      <c r="A1027" s="21"/>
      <c r="B1027" s="21"/>
      <c r="D1027" s="21"/>
      <c r="E1027" s="21"/>
      <c r="H1027" s="93"/>
      <c r="T1027"/>
      <c r="U1027"/>
      <c r="V1027"/>
      <c r="W1027"/>
      <c r="X1027"/>
      <c r="Y1027"/>
      <c r="Z1027"/>
      <c r="AA1027"/>
    </row>
    <row r="1028" spans="1:27" s="17" customFormat="1" x14ac:dyDescent="0.35">
      <c r="A1028" s="21"/>
      <c r="B1028" s="21"/>
      <c r="D1028" s="21"/>
      <c r="E1028" s="21"/>
      <c r="H1028" s="93"/>
      <c r="T1028"/>
      <c r="U1028"/>
      <c r="V1028"/>
      <c r="W1028"/>
      <c r="X1028"/>
      <c r="Y1028"/>
      <c r="Z1028"/>
      <c r="AA1028"/>
    </row>
    <row r="1029" spans="1:27" s="17" customFormat="1" x14ac:dyDescent="0.35">
      <c r="A1029" s="21"/>
      <c r="B1029" s="21"/>
      <c r="D1029" s="21"/>
      <c r="E1029" s="21"/>
      <c r="H1029" s="93"/>
      <c r="T1029"/>
      <c r="U1029"/>
      <c r="V1029"/>
      <c r="W1029"/>
      <c r="X1029"/>
      <c r="Y1029"/>
      <c r="Z1029"/>
      <c r="AA1029"/>
    </row>
    <row r="1030" spans="1:27" s="17" customFormat="1" x14ac:dyDescent="0.35">
      <c r="A1030" s="21"/>
      <c r="B1030" s="21"/>
      <c r="D1030" s="21"/>
      <c r="E1030" s="21"/>
      <c r="H1030" s="93"/>
      <c r="T1030"/>
      <c r="U1030"/>
      <c r="V1030"/>
      <c r="W1030"/>
      <c r="X1030"/>
      <c r="Y1030"/>
      <c r="Z1030"/>
      <c r="AA1030"/>
    </row>
    <row r="1031" spans="1:27" s="17" customFormat="1" x14ac:dyDescent="0.35">
      <c r="A1031" s="21"/>
      <c r="B1031" s="21"/>
      <c r="D1031" s="21"/>
      <c r="E1031" s="21"/>
      <c r="H1031" s="93"/>
      <c r="T1031"/>
      <c r="U1031"/>
      <c r="V1031"/>
      <c r="W1031"/>
      <c r="X1031"/>
      <c r="Y1031"/>
      <c r="Z1031"/>
      <c r="AA1031"/>
    </row>
    <row r="1032" spans="1:27" s="17" customFormat="1" x14ac:dyDescent="0.35">
      <c r="A1032" s="21"/>
      <c r="B1032" s="21"/>
      <c r="D1032" s="21"/>
      <c r="E1032" s="21"/>
      <c r="H1032" s="93"/>
      <c r="T1032"/>
      <c r="U1032"/>
      <c r="V1032"/>
      <c r="W1032"/>
      <c r="X1032"/>
      <c r="Y1032"/>
      <c r="Z1032"/>
      <c r="AA1032"/>
    </row>
    <row r="1033" spans="1:27" s="17" customFormat="1" x14ac:dyDescent="0.35">
      <c r="A1033" s="21"/>
      <c r="B1033" s="21"/>
      <c r="D1033" s="21"/>
      <c r="E1033" s="21"/>
      <c r="H1033" s="93"/>
      <c r="T1033"/>
      <c r="U1033"/>
      <c r="V1033"/>
      <c r="W1033"/>
      <c r="X1033"/>
      <c r="Y1033"/>
      <c r="Z1033"/>
      <c r="AA1033"/>
    </row>
    <row r="1034" spans="1:27" s="17" customFormat="1" x14ac:dyDescent="0.35">
      <c r="A1034" s="21"/>
      <c r="B1034" s="21"/>
      <c r="D1034" s="21"/>
      <c r="E1034" s="21"/>
      <c r="H1034" s="93"/>
      <c r="T1034"/>
      <c r="U1034"/>
      <c r="V1034"/>
      <c r="W1034"/>
      <c r="X1034"/>
      <c r="Y1034"/>
      <c r="Z1034"/>
      <c r="AA1034"/>
    </row>
    <row r="1035" spans="1:27" s="17" customFormat="1" x14ac:dyDescent="0.35">
      <c r="A1035" s="21"/>
      <c r="B1035" s="21"/>
      <c r="D1035" s="21"/>
      <c r="E1035" s="21"/>
      <c r="H1035" s="93"/>
      <c r="T1035"/>
      <c r="U1035"/>
      <c r="V1035"/>
      <c r="W1035"/>
      <c r="X1035"/>
      <c r="Y1035"/>
      <c r="Z1035"/>
      <c r="AA1035"/>
    </row>
    <row r="1036" spans="1:27" s="17" customFormat="1" x14ac:dyDescent="0.35">
      <c r="A1036" s="21"/>
      <c r="B1036" s="21"/>
      <c r="D1036" s="21"/>
      <c r="E1036" s="21"/>
      <c r="H1036" s="93"/>
      <c r="T1036"/>
      <c r="U1036"/>
      <c r="V1036"/>
      <c r="W1036"/>
      <c r="X1036"/>
      <c r="Y1036"/>
      <c r="Z1036"/>
      <c r="AA1036"/>
    </row>
    <row r="1037" spans="1:27" s="17" customFormat="1" x14ac:dyDescent="0.35">
      <c r="A1037" s="21"/>
      <c r="B1037" s="21"/>
      <c r="D1037" s="21"/>
      <c r="E1037" s="21"/>
      <c r="H1037" s="93"/>
      <c r="T1037"/>
      <c r="U1037"/>
      <c r="V1037"/>
      <c r="W1037"/>
      <c r="X1037"/>
      <c r="Y1037"/>
      <c r="Z1037"/>
      <c r="AA1037"/>
    </row>
    <row r="1038" spans="1:27" s="17" customFormat="1" x14ac:dyDescent="0.35">
      <c r="A1038" s="21"/>
      <c r="B1038" s="21"/>
      <c r="D1038" s="21"/>
      <c r="E1038" s="21"/>
      <c r="H1038" s="93"/>
      <c r="T1038"/>
      <c r="U1038"/>
      <c r="V1038"/>
      <c r="W1038"/>
      <c r="X1038"/>
      <c r="Y1038"/>
      <c r="Z1038"/>
      <c r="AA1038"/>
    </row>
    <row r="1039" spans="1:27" s="17" customFormat="1" x14ac:dyDescent="0.35">
      <c r="A1039" s="21"/>
      <c r="B1039" s="21"/>
      <c r="D1039" s="21"/>
      <c r="E1039" s="21"/>
      <c r="H1039" s="93"/>
      <c r="T1039"/>
      <c r="U1039"/>
      <c r="V1039"/>
      <c r="W1039"/>
      <c r="X1039"/>
      <c r="Y1039"/>
      <c r="Z1039"/>
      <c r="AA1039"/>
    </row>
    <row r="1040" spans="1:27" s="17" customFormat="1" x14ac:dyDescent="0.35">
      <c r="A1040" s="21"/>
      <c r="B1040" s="21"/>
      <c r="D1040" s="21"/>
      <c r="E1040" s="21"/>
      <c r="H1040" s="93"/>
      <c r="T1040"/>
      <c r="U1040"/>
      <c r="V1040"/>
      <c r="W1040"/>
      <c r="X1040"/>
      <c r="Y1040"/>
      <c r="Z1040"/>
      <c r="AA1040"/>
    </row>
    <row r="1041" spans="1:27" s="17" customFormat="1" x14ac:dyDescent="0.35">
      <c r="A1041" s="21"/>
      <c r="B1041" s="21"/>
      <c r="D1041" s="21"/>
      <c r="E1041" s="21"/>
      <c r="H1041" s="93"/>
      <c r="T1041"/>
      <c r="U1041"/>
      <c r="V1041"/>
      <c r="W1041"/>
      <c r="X1041"/>
      <c r="Y1041"/>
      <c r="Z1041"/>
      <c r="AA1041"/>
    </row>
    <row r="1042" spans="1:27" s="17" customFormat="1" x14ac:dyDescent="0.35">
      <c r="A1042" s="21"/>
      <c r="B1042" s="21"/>
      <c r="D1042" s="21"/>
      <c r="E1042" s="21"/>
      <c r="H1042" s="93"/>
      <c r="T1042"/>
      <c r="U1042"/>
      <c r="V1042"/>
      <c r="W1042"/>
      <c r="X1042"/>
      <c r="Y1042"/>
      <c r="Z1042"/>
      <c r="AA1042"/>
    </row>
    <row r="1043" spans="1:27" s="17" customFormat="1" x14ac:dyDescent="0.35">
      <c r="A1043" s="21"/>
      <c r="B1043" s="21"/>
      <c r="D1043" s="21"/>
      <c r="E1043" s="21"/>
      <c r="H1043" s="93"/>
      <c r="T1043"/>
      <c r="U1043"/>
      <c r="V1043"/>
      <c r="W1043"/>
      <c r="X1043"/>
      <c r="Y1043"/>
      <c r="Z1043"/>
      <c r="AA1043"/>
    </row>
    <row r="1044" spans="1:27" s="17" customFormat="1" x14ac:dyDescent="0.35">
      <c r="A1044" s="21"/>
      <c r="B1044" s="21"/>
      <c r="D1044" s="21"/>
      <c r="E1044" s="21"/>
      <c r="H1044" s="93"/>
      <c r="T1044"/>
      <c r="U1044"/>
      <c r="V1044"/>
      <c r="W1044"/>
      <c r="X1044"/>
      <c r="Y1044"/>
      <c r="Z1044"/>
      <c r="AA1044"/>
    </row>
    <row r="1045" spans="1:27" s="17" customFormat="1" x14ac:dyDescent="0.35">
      <c r="A1045" s="21"/>
      <c r="B1045" s="21"/>
      <c r="D1045" s="21"/>
      <c r="E1045" s="21"/>
      <c r="H1045" s="93"/>
      <c r="T1045"/>
      <c r="U1045"/>
      <c r="V1045"/>
      <c r="W1045"/>
      <c r="X1045"/>
      <c r="Y1045"/>
      <c r="Z1045"/>
      <c r="AA1045"/>
    </row>
    <row r="1046" spans="1:27" s="17" customFormat="1" x14ac:dyDescent="0.35">
      <c r="A1046" s="21"/>
      <c r="B1046" s="21"/>
      <c r="D1046" s="21"/>
      <c r="E1046" s="21"/>
      <c r="H1046" s="93"/>
      <c r="T1046"/>
      <c r="U1046"/>
      <c r="V1046"/>
      <c r="W1046"/>
      <c r="X1046"/>
      <c r="Y1046"/>
      <c r="Z1046"/>
      <c r="AA1046"/>
    </row>
    <row r="1047" spans="1:27" s="17" customFormat="1" x14ac:dyDescent="0.35">
      <c r="A1047" s="21"/>
      <c r="B1047" s="21"/>
      <c r="D1047" s="21"/>
      <c r="E1047" s="21"/>
      <c r="H1047" s="93"/>
      <c r="T1047"/>
      <c r="U1047"/>
      <c r="V1047"/>
      <c r="W1047"/>
      <c r="X1047"/>
      <c r="Y1047"/>
      <c r="Z1047"/>
      <c r="AA1047"/>
    </row>
    <row r="1048" spans="1:27" s="17" customFormat="1" x14ac:dyDescent="0.35">
      <c r="A1048" s="21"/>
      <c r="B1048" s="21"/>
      <c r="D1048" s="21"/>
      <c r="E1048" s="21"/>
      <c r="H1048" s="93"/>
      <c r="T1048"/>
      <c r="U1048"/>
      <c r="V1048"/>
      <c r="W1048"/>
      <c r="X1048"/>
      <c r="Y1048"/>
      <c r="Z1048"/>
      <c r="AA1048"/>
    </row>
    <row r="1049" spans="1:27" s="17" customFormat="1" x14ac:dyDescent="0.35">
      <c r="A1049" s="21"/>
      <c r="B1049" s="21"/>
      <c r="D1049" s="21"/>
      <c r="E1049" s="21"/>
      <c r="H1049" s="93"/>
      <c r="T1049"/>
      <c r="U1049"/>
      <c r="V1049"/>
      <c r="W1049"/>
      <c r="X1049"/>
      <c r="Y1049"/>
      <c r="Z1049"/>
      <c r="AA1049"/>
    </row>
    <row r="1050" spans="1:27" s="17" customFormat="1" x14ac:dyDescent="0.35">
      <c r="A1050" s="21"/>
      <c r="B1050" s="21"/>
      <c r="D1050" s="21"/>
      <c r="E1050" s="21"/>
      <c r="H1050" s="93"/>
      <c r="T1050"/>
      <c r="U1050"/>
      <c r="V1050"/>
      <c r="W1050"/>
      <c r="X1050"/>
      <c r="Y1050"/>
      <c r="Z1050"/>
      <c r="AA1050"/>
    </row>
    <row r="1051" spans="1:27" s="17" customFormat="1" x14ac:dyDescent="0.35">
      <c r="A1051" s="21"/>
      <c r="B1051" s="21"/>
      <c r="D1051" s="21"/>
      <c r="E1051" s="21"/>
      <c r="H1051" s="93"/>
      <c r="T1051"/>
      <c r="U1051"/>
      <c r="V1051"/>
      <c r="W1051"/>
      <c r="X1051"/>
      <c r="Y1051"/>
      <c r="Z1051"/>
      <c r="AA1051"/>
    </row>
    <row r="1052" spans="1:27" s="17" customFormat="1" x14ac:dyDescent="0.35">
      <c r="A1052" s="21"/>
      <c r="B1052" s="21"/>
      <c r="D1052" s="21"/>
      <c r="E1052" s="21"/>
      <c r="H1052" s="93"/>
      <c r="T1052"/>
      <c r="U1052"/>
      <c r="V1052"/>
      <c r="W1052"/>
      <c r="X1052"/>
      <c r="Y1052"/>
      <c r="Z1052"/>
      <c r="AA1052"/>
    </row>
    <row r="1053" spans="1:27" s="17" customFormat="1" x14ac:dyDescent="0.35">
      <c r="A1053" s="21"/>
      <c r="B1053" s="21"/>
      <c r="D1053" s="21"/>
      <c r="E1053" s="21"/>
      <c r="H1053" s="93"/>
      <c r="T1053"/>
      <c r="U1053"/>
      <c r="V1053"/>
      <c r="W1053"/>
      <c r="X1053"/>
      <c r="Y1053"/>
      <c r="Z1053"/>
      <c r="AA1053"/>
    </row>
    <row r="1054" spans="1:27" s="17" customFormat="1" x14ac:dyDescent="0.35">
      <c r="A1054" s="21"/>
      <c r="B1054" s="21"/>
      <c r="D1054" s="21"/>
      <c r="E1054" s="21"/>
      <c r="H1054" s="93"/>
      <c r="T1054"/>
      <c r="U1054"/>
      <c r="V1054"/>
      <c r="W1054"/>
      <c r="X1054"/>
      <c r="Y1054"/>
      <c r="Z1054"/>
      <c r="AA1054"/>
    </row>
    <row r="1055" spans="1:27" s="17" customFormat="1" x14ac:dyDescent="0.35">
      <c r="A1055" s="21"/>
      <c r="B1055" s="21"/>
      <c r="D1055" s="21"/>
      <c r="E1055" s="21"/>
      <c r="H1055" s="93"/>
      <c r="T1055"/>
      <c r="U1055"/>
      <c r="V1055"/>
      <c r="W1055"/>
      <c r="X1055"/>
      <c r="Y1055"/>
      <c r="Z1055"/>
      <c r="AA1055"/>
    </row>
    <row r="1056" spans="1:27" s="17" customFormat="1" x14ac:dyDescent="0.35">
      <c r="A1056" s="21"/>
      <c r="B1056" s="21"/>
      <c r="D1056" s="21"/>
      <c r="E1056" s="21"/>
      <c r="H1056" s="93"/>
      <c r="T1056"/>
      <c r="U1056"/>
      <c r="V1056"/>
      <c r="W1056"/>
      <c r="X1056"/>
      <c r="Y1056"/>
      <c r="Z1056"/>
      <c r="AA1056"/>
    </row>
    <row r="1057" spans="1:27" s="17" customFormat="1" x14ac:dyDescent="0.35">
      <c r="A1057" s="21"/>
      <c r="B1057" s="21"/>
      <c r="D1057" s="21"/>
      <c r="E1057" s="21"/>
      <c r="H1057" s="93"/>
      <c r="T1057"/>
      <c r="U1057"/>
      <c r="V1057"/>
      <c r="W1057"/>
      <c r="X1057"/>
      <c r="Y1057"/>
      <c r="Z1057"/>
      <c r="AA1057"/>
    </row>
    <row r="1058" spans="1:27" s="17" customFormat="1" x14ac:dyDescent="0.35">
      <c r="A1058" s="21"/>
      <c r="B1058" s="21"/>
      <c r="D1058" s="21"/>
      <c r="E1058" s="21"/>
      <c r="H1058" s="93"/>
      <c r="T1058"/>
      <c r="U1058"/>
      <c r="V1058"/>
      <c r="W1058"/>
      <c r="X1058"/>
      <c r="Y1058"/>
      <c r="Z1058"/>
      <c r="AA1058"/>
    </row>
    <row r="1059" spans="1:27" s="17" customFormat="1" x14ac:dyDescent="0.35">
      <c r="A1059" s="21"/>
      <c r="B1059" s="21"/>
      <c r="D1059" s="21"/>
      <c r="E1059" s="21"/>
      <c r="H1059" s="93"/>
      <c r="T1059"/>
      <c r="U1059"/>
      <c r="V1059"/>
      <c r="W1059"/>
      <c r="X1059"/>
      <c r="Y1059"/>
      <c r="Z1059"/>
      <c r="AA1059"/>
    </row>
    <row r="1060" spans="1:27" s="17" customFormat="1" x14ac:dyDescent="0.35">
      <c r="A1060" s="21"/>
      <c r="B1060" s="21"/>
      <c r="D1060" s="21"/>
      <c r="E1060" s="21"/>
      <c r="H1060" s="93"/>
      <c r="T1060"/>
      <c r="U1060"/>
      <c r="V1060"/>
      <c r="W1060"/>
      <c r="X1060"/>
      <c r="Y1060"/>
      <c r="Z1060"/>
      <c r="AA1060"/>
    </row>
    <row r="1061" spans="1:27" s="17" customFormat="1" x14ac:dyDescent="0.35">
      <c r="A1061" s="21"/>
      <c r="B1061" s="21"/>
      <c r="D1061" s="21"/>
      <c r="E1061" s="21"/>
      <c r="H1061" s="93"/>
      <c r="T1061"/>
      <c r="U1061"/>
      <c r="V1061"/>
      <c r="W1061"/>
      <c r="X1061"/>
      <c r="Y1061"/>
      <c r="Z1061"/>
      <c r="AA1061"/>
    </row>
    <row r="1062" spans="1:27" s="17" customFormat="1" x14ac:dyDescent="0.35">
      <c r="A1062" s="21"/>
      <c r="B1062" s="21"/>
      <c r="D1062" s="21"/>
      <c r="E1062" s="21"/>
      <c r="H1062" s="93"/>
      <c r="T1062"/>
      <c r="U1062"/>
      <c r="V1062"/>
      <c r="W1062"/>
      <c r="X1062"/>
      <c r="Y1062"/>
      <c r="Z1062"/>
      <c r="AA1062"/>
    </row>
    <row r="1063" spans="1:27" s="17" customFormat="1" x14ac:dyDescent="0.35">
      <c r="A1063" s="21"/>
      <c r="B1063" s="21"/>
      <c r="D1063" s="21"/>
      <c r="E1063" s="21"/>
      <c r="H1063" s="93"/>
      <c r="T1063"/>
      <c r="U1063"/>
      <c r="V1063"/>
      <c r="W1063"/>
      <c r="X1063"/>
      <c r="Y1063"/>
      <c r="Z1063"/>
      <c r="AA1063"/>
    </row>
    <row r="1064" spans="1:27" s="17" customFormat="1" x14ac:dyDescent="0.35">
      <c r="A1064" s="21"/>
      <c r="B1064" s="21"/>
      <c r="D1064" s="21"/>
      <c r="E1064" s="21"/>
      <c r="H1064" s="93"/>
      <c r="T1064"/>
      <c r="U1064"/>
      <c r="V1064"/>
      <c r="W1064"/>
      <c r="X1064"/>
      <c r="Y1064"/>
      <c r="Z1064"/>
      <c r="AA1064"/>
    </row>
    <row r="1065" spans="1:27" s="17" customFormat="1" x14ac:dyDescent="0.35">
      <c r="A1065" s="21"/>
      <c r="B1065" s="21"/>
      <c r="D1065" s="21"/>
      <c r="E1065" s="21"/>
      <c r="H1065" s="93"/>
      <c r="T1065"/>
      <c r="U1065"/>
      <c r="V1065"/>
      <c r="W1065"/>
      <c r="X1065"/>
      <c r="Y1065"/>
      <c r="Z1065"/>
      <c r="AA1065"/>
    </row>
    <row r="1066" spans="1:27" s="17" customFormat="1" x14ac:dyDescent="0.35">
      <c r="A1066" s="21"/>
      <c r="B1066" s="21"/>
      <c r="D1066" s="21"/>
      <c r="E1066" s="21"/>
      <c r="H1066" s="93"/>
      <c r="T1066"/>
      <c r="U1066"/>
      <c r="V1066"/>
      <c r="W1066"/>
      <c r="X1066"/>
      <c r="Y1066"/>
      <c r="Z1066"/>
      <c r="AA1066"/>
    </row>
    <row r="1067" spans="1:27" s="17" customFormat="1" x14ac:dyDescent="0.35">
      <c r="A1067" s="21"/>
      <c r="B1067" s="21"/>
      <c r="D1067" s="21"/>
      <c r="E1067" s="21"/>
      <c r="H1067" s="93"/>
      <c r="T1067"/>
      <c r="U1067"/>
      <c r="V1067"/>
      <c r="W1067"/>
      <c r="X1067"/>
      <c r="Y1067"/>
      <c r="Z1067"/>
      <c r="AA1067"/>
    </row>
    <row r="1068" spans="1:27" s="17" customFormat="1" x14ac:dyDescent="0.35">
      <c r="A1068" s="21"/>
      <c r="B1068" s="21"/>
      <c r="D1068" s="21"/>
      <c r="E1068" s="21"/>
      <c r="H1068" s="93"/>
      <c r="T1068"/>
      <c r="U1068"/>
      <c r="V1068"/>
      <c r="W1068"/>
      <c r="X1068"/>
      <c r="Y1068"/>
      <c r="Z1068"/>
      <c r="AA1068"/>
    </row>
    <row r="1069" spans="1:27" s="17" customFormat="1" x14ac:dyDescent="0.35">
      <c r="A1069" s="21"/>
      <c r="B1069" s="21"/>
      <c r="D1069" s="21"/>
      <c r="E1069" s="21"/>
      <c r="H1069" s="93"/>
      <c r="T1069"/>
      <c r="U1069"/>
      <c r="V1069"/>
      <c r="W1069"/>
      <c r="X1069"/>
      <c r="Y1069"/>
      <c r="Z1069"/>
      <c r="AA1069"/>
    </row>
    <row r="1070" spans="1:27" s="17" customFormat="1" x14ac:dyDescent="0.35">
      <c r="A1070" s="21"/>
      <c r="B1070" s="21"/>
      <c r="D1070" s="21"/>
      <c r="E1070" s="21"/>
      <c r="H1070" s="93"/>
      <c r="T1070"/>
      <c r="U1070"/>
      <c r="V1070"/>
      <c r="W1070"/>
      <c r="X1070"/>
      <c r="Y1070"/>
      <c r="Z1070"/>
      <c r="AA1070"/>
    </row>
    <row r="1071" spans="1:27" s="17" customFormat="1" x14ac:dyDescent="0.35">
      <c r="A1071" s="21"/>
      <c r="B1071" s="21"/>
      <c r="D1071" s="21"/>
      <c r="E1071" s="21"/>
      <c r="H1071" s="93"/>
      <c r="T1071"/>
      <c r="U1071"/>
      <c r="V1071"/>
      <c r="W1071"/>
      <c r="X1071"/>
      <c r="Y1071"/>
      <c r="Z1071"/>
      <c r="AA1071"/>
    </row>
    <row r="1072" spans="1:27" s="17" customFormat="1" x14ac:dyDescent="0.35">
      <c r="A1072" s="21"/>
      <c r="B1072" s="21"/>
      <c r="D1072" s="21"/>
      <c r="E1072" s="21"/>
      <c r="H1072" s="93"/>
      <c r="T1072"/>
      <c r="U1072"/>
      <c r="V1072"/>
      <c r="W1072"/>
      <c r="X1072"/>
      <c r="Y1072"/>
      <c r="Z1072"/>
      <c r="AA1072"/>
    </row>
    <row r="1073" spans="1:27" s="17" customFormat="1" x14ac:dyDescent="0.35">
      <c r="A1073" s="21"/>
      <c r="B1073" s="21"/>
      <c r="D1073" s="21"/>
      <c r="E1073" s="21"/>
      <c r="H1073" s="93"/>
      <c r="T1073"/>
      <c r="U1073"/>
      <c r="V1073"/>
      <c r="W1073"/>
      <c r="X1073"/>
      <c r="Y1073"/>
      <c r="Z1073"/>
      <c r="AA1073"/>
    </row>
    <row r="1074" spans="1:27" s="17" customFormat="1" x14ac:dyDescent="0.35">
      <c r="A1074" s="21"/>
      <c r="B1074" s="21"/>
      <c r="D1074" s="21"/>
      <c r="E1074" s="21"/>
      <c r="H1074" s="93"/>
      <c r="T1074"/>
      <c r="U1074"/>
      <c r="V1074"/>
      <c r="W1074"/>
      <c r="X1074"/>
      <c r="Y1074"/>
      <c r="Z1074"/>
      <c r="AA1074"/>
    </row>
    <row r="1075" spans="1:27" s="17" customFormat="1" x14ac:dyDescent="0.35">
      <c r="A1075" s="21"/>
      <c r="B1075" s="21"/>
      <c r="D1075" s="21"/>
      <c r="E1075" s="21"/>
      <c r="H1075" s="93"/>
      <c r="T1075"/>
      <c r="U1075"/>
      <c r="V1075"/>
      <c r="W1075"/>
      <c r="X1075"/>
      <c r="Y1075"/>
      <c r="Z1075"/>
      <c r="AA1075"/>
    </row>
    <row r="1076" spans="1:27" s="17" customFormat="1" x14ac:dyDescent="0.35">
      <c r="A1076" s="21"/>
      <c r="B1076" s="21"/>
      <c r="D1076" s="21"/>
      <c r="E1076" s="21"/>
      <c r="H1076" s="93"/>
      <c r="T1076"/>
      <c r="U1076"/>
      <c r="V1076"/>
      <c r="W1076"/>
      <c r="X1076"/>
      <c r="Y1076"/>
      <c r="Z1076"/>
      <c r="AA1076"/>
    </row>
    <row r="1077" spans="1:27" s="17" customFormat="1" x14ac:dyDescent="0.35">
      <c r="A1077" s="21"/>
      <c r="B1077" s="21"/>
      <c r="D1077" s="21"/>
      <c r="E1077" s="21"/>
      <c r="H1077" s="93"/>
      <c r="T1077"/>
      <c r="U1077"/>
      <c r="V1077"/>
      <c r="W1077"/>
      <c r="X1077"/>
      <c r="Y1077"/>
      <c r="Z1077"/>
      <c r="AA1077"/>
    </row>
    <row r="1078" spans="1:27" s="17" customFormat="1" x14ac:dyDescent="0.35">
      <c r="A1078" s="21"/>
      <c r="B1078" s="21"/>
      <c r="D1078" s="21"/>
      <c r="E1078" s="21"/>
      <c r="H1078" s="93"/>
      <c r="T1078"/>
      <c r="U1078"/>
      <c r="V1078"/>
      <c r="W1078"/>
      <c r="X1078"/>
      <c r="Y1078"/>
      <c r="Z1078"/>
      <c r="AA1078"/>
    </row>
    <row r="1079" spans="1:27" s="17" customFormat="1" x14ac:dyDescent="0.35">
      <c r="A1079" s="21"/>
      <c r="B1079" s="21"/>
      <c r="D1079" s="21"/>
      <c r="E1079" s="21"/>
      <c r="H1079" s="93"/>
      <c r="T1079"/>
      <c r="U1079"/>
      <c r="V1079"/>
      <c r="W1079"/>
      <c r="X1079"/>
      <c r="Y1079"/>
      <c r="Z1079"/>
      <c r="AA1079"/>
    </row>
    <row r="1080" spans="1:27" s="17" customFormat="1" x14ac:dyDescent="0.35">
      <c r="A1080" s="21"/>
      <c r="B1080" s="21"/>
      <c r="D1080" s="21"/>
      <c r="E1080" s="21"/>
      <c r="H1080" s="93"/>
      <c r="T1080"/>
      <c r="U1080"/>
      <c r="V1080"/>
      <c r="W1080"/>
      <c r="X1080"/>
      <c r="Y1080"/>
      <c r="Z1080"/>
      <c r="AA1080"/>
    </row>
    <row r="1081" spans="1:27" s="17" customFormat="1" x14ac:dyDescent="0.35">
      <c r="A1081" s="21"/>
      <c r="B1081" s="21"/>
      <c r="D1081" s="21"/>
      <c r="E1081" s="21"/>
      <c r="H1081" s="93"/>
      <c r="T1081"/>
      <c r="U1081"/>
      <c r="V1081"/>
      <c r="W1081"/>
      <c r="X1081"/>
      <c r="Y1081"/>
      <c r="Z1081"/>
      <c r="AA1081"/>
    </row>
    <row r="1082" spans="1:27" s="17" customFormat="1" x14ac:dyDescent="0.35">
      <c r="A1082" s="21"/>
      <c r="B1082" s="21"/>
      <c r="D1082" s="21"/>
      <c r="E1082" s="21"/>
      <c r="H1082" s="93"/>
      <c r="T1082"/>
      <c r="U1082"/>
      <c r="V1082"/>
      <c r="W1082"/>
      <c r="X1082"/>
      <c r="Y1082"/>
      <c r="Z1082"/>
      <c r="AA1082"/>
    </row>
    <row r="1083" spans="1:27" s="17" customFormat="1" x14ac:dyDescent="0.35">
      <c r="A1083" s="21"/>
      <c r="B1083" s="21"/>
      <c r="D1083" s="21"/>
      <c r="E1083" s="21"/>
      <c r="H1083" s="93"/>
      <c r="T1083"/>
      <c r="U1083"/>
      <c r="V1083"/>
      <c r="W1083"/>
      <c r="X1083"/>
      <c r="Y1083"/>
      <c r="Z1083"/>
      <c r="AA1083"/>
    </row>
    <row r="1084" spans="1:27" s="17" customFormat="1" x14ac:dyDescent="0.35">
      <c r="A1084" s="21"/>
      <c r="B1084" s="21"/>
      <c r="D1084" s="21"/>
      <c r="E1084" s="21"/>
      <c r="H1084" s="93"/>
      <c r="T1084"/>
      <c r="U1084"/>
      <c r="V1084"/>
      <c r="W1084"/>
      <c r="X1084"/>
      <c r="Y1084"/>
      <c r="Z1084"/>
      <c r="AA1084"/>
    </row>
    <row r="1085" spans="1:27" s="17" customFormat="1" x14ac:dyDescent="0.35">
      <c r="A1085" s="21"/>
      <c r="B1085" s="21"/>
      <c r="D1085" s="21"/>
      <c r="E1085" s="21"/>
      <c r="H1085" s="93"/>
      <c r="T1085"/>
      <c r="U1085"/>
      <c r="V1085"/>
      <c r="W1085"/>
      <c r="X1085"/>
      <c r="Y1085"/>
      <c r="Z1085"/>
      <c r="AA1085"/>
    </row>
    <row r="1086" spans="1:27" s="17" customFormat="1" x14ac:dyDescent="0.35">
      <c r="A1086" s="21"/>
      <c r="B1086" s="21"/>
      <c r="D1086" s="21"/>
      <c r="E1086" s="21"/>
      <c r="H1086" s="93"/>
      <c r="T1086"/>
      <c r="U1086"/>
      <c r="V1086"/>
      <c r="W1086"/>
      <c r="X1086"/>
      <c r="Y1086"/>
      <c r="Z1086"/>
      <c r="AA1086"/>
    </row>
    <row r="1087" spans="1:27" s="17" customFormat="1" x14ac:dyDescent="0.35">
      <c r="A1087" s="21"/>
      <c r="B1087" s="21"/>
      <c r="D1087" s="21"/>
      <c r="E1087" s="21"/>
      <c r="H1087" s="93"/>
      <c r="T1087"/>
      <c r="U1087"/>
      <c r="V1087"/>
      <c r="W1087"/>
      <c r="X1087"/>
      <c r="Y1087"/>
      <c r="Z1087"/>
      <c r="AA1087"/>
    </row>
    <row r="1088" spans="1:27" s="17" customFormat="1" x14ac:dyDescent="0.35">
      <c r="A1088" s="21"/>
      <c r="B1088" s="21"/>
      <c r="D1088" s="21"/>
      <c r="E1088" s="21"/>
      <c r="H1088" s="93"/>
      <c r="T1088"/>
      <c r="U1088"/>
      <c r="V1088"/>
      <c r="W1088"/>
      <c r="X1088"/>
      <c r="Y1088"/>
      <c r="Z1088"/>
      <c r="AA1088"/>
    </row>
    <row r="1089" spans="1:27" s="17" customFormat="1" x14ac:dyDescent="0.35">
      <c r="A1089" s="21"/>
      <c r="B1089" s="21"/>
      <c r="D1089" s="21"/>
      <c r="E1089" s="21"/>
      <c r="H1089" s="93"/>
      <c r="T1089"/>
      <c r="U1089"/>
      <c r="V1089"/>
      <c r="W1089"/>
      <c r="X1089"/>
      <c r="Y1089"/>
      <c r="Z1089"/>
      <c r="AA1089"/>
    </row>
    <row r="1090" spans="1:27" s="17" customFormat="1" x14ac:dyDescent="0.35">
      <c r="A1090" s="21"/>
      <c r="B1090" s="21"/>
      <c r="D1090" s="21"/>
      <c r="E1090" s="21"/>
      <c r="H1090" s="93"/>
      <c r="T1090"/>
      <c r="U1090"/>
      <c r="V1090"/>
      <c r="W1090"/>
      <c r="X1090"/>
      <c r="Y1090"/>
      <c r="Z1090"/>
      <c r="AA1090"/>
    </row>
    <row r="1091" spans="1:27" s="17" customFormat="1" x14ac:dyDescent="0.35">
      <c r="A1091" s="21"/>
      <c r="B1091" s="21"/>
      <c r="D1091" s="21"/>
      <c r="E1091" s="21"/>
      <c r="H1091" s="93"/>
      <c r="T1091"/>
      <c r="U1091"/>
      <c r="V1091"/>
      <c r="W1091"/>
      <c r="X1091"/>
      <c r="Y1091"/>
      <c r="Z1091"/>
      <c r="AA1091"/>
    </row>
    <row r="1092" spans="1:27" s="17" customFormat="1" x14ac:dyDescent="0.35">
      <c r="A1092" s="21"/>
      <c r="B1092" s="21"/>
      <c r="D1092" s="21"/>
      <c r="E1092" s="21"/>
      <c r="H1092" s="93"/>
      <c r="T1092"/>
      <c r="U1092"/>
      <c r="V1092"/>
      <c r="W1092"/>
      <c r="X1092"/>
      <c r="Y1092"/>
      <c r="Z1092"/>
      <c r="AA1092"/>
    </row>
    <row r="1093" spans="1:27" s="17" customFormat="1" x14ac:dyDescent="0.35">
      <c r="A1093" s="21"/>
      <c r="B1093" s="21"/>
      <c r="D1093" s="21"/>
      <c r="E1093" s="21"/>
      <c r="H1093" s="93"/>
      <c r="T1093"/>
      <c r="U1093"/>
      <c r="V1093"/>
      <c r="W1093"/>
      <c r="X1093"/>
      <c r="Y1093"/>
      <c r="Z1093"/>
      <c r="AA1093"/>
    </row>
    <row r="1094" spans="1:27" s="17" customFormat="1" x14ac:dyDescent="0.35">
      <c r="A1094" s="21"/>
      <c r="B1094" s="21"/>
      <c r="D1094" s="21"/>
      <c r="E1094" s="21"/>
      <c r="H1094" s="93"/>
      <c r="T1094"/>
      <c r="U1094"/>
      <c r="V1094"/>
      <c r="W1094"/>
      <c r="X1094"/>
      <c r="Y1094"/>
      <c r="Z1094"/>
      <c r="AA1094"/>
    </row>
    <row r="1095" spans="1:27" s="17" customFormat="1" x14ac:dyDescent="0.35">
      <c r="A1095" s="21"/>
      <c r="B1095" s="21"/>
      <c r="D1095" s="21"/>
      <c r="E1095" s="21"/>
      <c r="H1095" s="93"/>
      <c r="T1095"/>
      <c r="U1095"/>
      <c r="V1095"/>
      <c r="W1095"/>
      <c r="X1095"/>
      <c r="Y1095"/>
      <c r="Z1095"/>
      <c r="AA1095"/>
    </row>
    <row r="1096" spans="1:27" s="17" customFormat="1" x14ac:dyDescent="0.35">
      <c r="A1096" s="21"/>
      <c r="B1096" s="21"/>
      <c r="D1096" s="21"/>
      <c r="E1096" s="21"/>
      <c r="H1096" s="93"/>
      <c r="T1096"/>
      <c r="U1096"/>
      <c r="V1096"/>
      <c r="W1096"/>
      <c r="X1096"/>
      <c r="Y1096"/>
      <c r="Z1096"/>
      <c r="AA1096"/>
    </row>
    <row r="1097" spans="1:27" s="17" customFormat="1" x14ac:dyDescent="0.35">
      <c r="A1097" s="21"/>
      <c r="B1097" s="21"/>
      <c r="D1097" s="21"/>
      <c r="E1097" s="21"/>
      <c r="H1097" s="93"/>
      <c r="T1097"/>
      <c r="U1097"/>
      <c r="V1097"/>
      <c r="W1097"/>
      <c r="X1097"/>
      <c r="Y1097"/>
      <c r="Z1097"/>
      <c r="AA1097"/>
    </row>
    <row r="1098" spans="1:27" s="17" customFormat="1" x14ac:dyDescent="0.35">
      <c r="A1098" s="21"/>
      <c r="B1098" s="21"/>
      <c r="D1098" s="21"/>
      <c r="E1098" s="21"/>
      <c r="H1098" s="93"/>
      <c r="T1098"/>
      <c r="U1098"/>
      <c r="V1098"/>
      <c r="W1098"/>
      <c r="X1098"/>
      <c r="Y1098"/>
      <c r="Z1098"/>
      <c r="AA1098"/>
    </row>
    <row r="1099" spans="1:27" s="17" customFormat="1" x14ac:dyDescent="0.35">
      <c r="A1099" s="21"/>
      <c r="B1099" s="21"/>
      <c r="D1099" s="21"/>
      <c r="E1099" s="21"/>
      <c r="H1099" s="93"/>
      <c r="T1099"/>
      <c r="U1099"/>
      <c r="V1099"/>
      <c r="W1099"/>
      <c r="X1099"/>
      <c r="Y1099"/>
      <c r="Z1099"/>
      <c r="AA1099"/>
    </row>
    <row r="1100" spans="1:27" s="17" customFormat="1" x14ac:dyDescent="0.35">
      <c r="A1100" s="21"/>
      <c r="B1100" s="21"/>
      <c r="D1100" s="21"/>
      <c r="E1100" s="21"/>
      <c r="H1100" s="93"/>
      <c r="T1100"/>
      <c r="U1100"/>
      <c r="V1100"/>
      <c r="W1100"/>
      <c r="X1100"/>
      <c r="Y1100"/>
      <c r="Z1100"/>
      <c r="AA1100"/>
    </row>
    <row r="1101" spans="1:27" s="17" customFormat="1" x14ac:dyDescent="0.35">
      <c r="A1101" s="21"/>
      <c r="B1101" s="21"/>
      <c r="D1101" s="21"/>
      <c r="E1101" s="21"/>
      <c r="H1101" s="93"/>
      <c r="T1101"/>
      <c r="U1101"/>
      <c r="V1101"/>
      <c r="W1101"/>
      <c r="X1101"/>
      <c r="Y1101"/>
      <c r="Z1101"/>
      <c r="AA1101"/>
    </row>
    <row r="1102" spans="1:27" s="17" customFormat="1" x14ac:dyDescent="0.35">
      <c r="A1102" s="21"/>
      <c r="B1102" s="21"/>
      <c r="D1102" s="21"/>
      <c r="E1102" s="21"/>
      <c r="H1102" s="93"/>
      <c r="T1102"/>
      <c r="U1102"/>
      <c r="V1102"/>
      <c r="W1102"/>
      <c r="X1102"/>
      <c r="Y1102"/>
      <c r="Z1102"/>
      <c r="AA1102"/>
    </row>
    <row r="1103" spans="1:27" s="17" customFormat="1" x14ac:dyDescent="0.35">
      <c r="A1103" s="21"/>
      <c r="B1103" s="21"/>
      <c r="D1103" s="21"/>
      <c r="E1103" s="21"/>
      <c r="H1103" s="93"/>
      <c r="T1103"/>
      <c r="U1103"/>
      <c r="V1103"/>
      <c r="W1103"/>
      <c r="X1103"/>
      <c r="Y1103"/>
      <c r="Z1103"/>
      <c r="AA1103"/>
    </row>
    <row r="1104" spans="1:27" s="17" customFormat="1" x14ac:dyDescent="0.35">
      <c r="A1104" s="21"/>
      <c r="B1104" s="21"/>
      <c r="D1104" s="21"/>
      <c r="E1104" s="21"/>
      <c r="H1104" s="93"/>
      <c r="T1104"/>
      <c r="U1104"/>
      <c r="V1104"/>
      <c r="W1104"/>
      <c r="X1104"/>
      <c r="Y1104"/>
      <c r="Z1104"/>
      <c r="AA1104"/>
    </row>
    <row r="1105" spans="1:27" s="17" customFormat="1" x14ac:dyDescent="0.35">
      <c r="A1105" s="21"/>
      <c r="B1105" s="21"/>
      <c r="D1105" s="21"/>
      <c r="E1105" s="21"/>
      <c r="H1105" s="93"/>
      <c r="T1105"/>
      <c r="U1105"/>
      <c r="V1105"/>
      <c r="W1105"/>
      <c r="X1105"/>
      <c r="Y1105"/>
      <c r="Z1105"/>
      <c r="AA1105"/>
    </row>
    <row r="1106" spans="1:27" s="17" customFormat="1" x14ac:dyDescent="0.35">
      <c r="A1106" s="21"/>
      <c r="B1106" s="21"/>
      <c r="D1106" s="21"/>
      <c r="E1106" s="21"/>
      <c r="H1106" s="93"/>
      <c r="T1106"/>
      <c r="U1106"/>
      <c r="V1106"/>
      <c r="W1106"/>
      <c r="X1106"/>
      <c r="Y1106"/>
      <c r="Z1106"/>
      <c r="AA1106"/>
    </row>
    <row r="1107" spans="1:27" s="17" customFormat="1" x14ac:dyDescent="0.35">
      <c r="A1107" s="21"/>
      <c r="B1107" s="21"/>
      <c r="D1107" s="21"/>
      <c r="E1107" s="21"/>
      <c r="H1107" s="93"/>
      <c r="T1107"/>
      <c r="U1107"/>
      <c r="V1107"/>
      <c r="W1107"/>
      <c r="X1107"/>
      <c r="Y1107"/>
      <c r="Z1107"/>
      <c r="AA1107"/>
    </row>
    <row r="1108" spans="1:27" s="17" customFormat="1" x14ac:dyDescent="0.35">
      <c r="A1108" s="21"/>
      <c r="B1108" s="21"/>
      <c r="D1108" s="21"/>
      <c r="E1108" s="21"/>
      <c r="H1108" s="93"/>
      <c r="T1108"/>
      <c r="U1108"/>
      <c r="V1108"/>
      <c r="W1108"/>
      <c r="X1108"/>
      <c r="Y1108"/>
      <c r="Z1108"/>
      <c r="AA1108"/>
    </row>
    <row r="1109" spans="1:27" s="17" customFormat="1" x14ac:dyDescent="0.35">
      <c r="A1109" s="21"/>
      <c r="B1109" s="21"/>
      <c r="D1109" s="21"/>
      <c r="E1109" s="21"/>
      <c r="H1109" s="93"/>
      <c r="T1109"/>
      <c r="U1109"/>
      <c r="V1109"/>
      <c r="W1109"/>
      <c r="X1109"/>
      <c r="Y1109"/>
      <c r="Z1109"/>
      <c r="AA1109"/>
    </row>
    <row r="1110" spans="1:27" s="17" customFormat="1" x14ac:dyDescent="0.35">
      <c r="A1110" s="21"/>
      <c r="B1110" s="21"/>
      <c r="D1110" s="21"/>
      <c r="E1110" s="21"/>
      <c r="H1110" s="93"/>
      <c r="T1110"/>
      <c r="U1110"/>
      <c r="V1110"/>
      <c r="W1110"/>
      <c r="X1110"/>
      <c r="Y1110"/>
      <c r="Z1110"/>
      <c r="AA1110"/>
    </row>
    <row r="1111" spans="1:27" s="17" customFormat="1" x14ac:dyDescent="0.35">
      <c r="A1111" s="21"/>
      <c r="B1111" s="21"/>
      <c r="D1111" s="21"/>
      <c r="E1111" s="21"/>
      <c r="H1111" s="93"/>
      <c r="T1111"/>
      <c r="U1111"/>
      <c r="V1111"/>
      <c r="W1111"/>
      <c r="X1111"/>
      <c r="Y1111"/>
      <c r="Z1111"/>
      <c r="AA1111"/>
    </row>
    <row r="1112" spans="1:27" s="17" customFormat="1" x14ac:dyDescent="0.35">
      <c r="A1112" s="21"/>
      <c r="B1112" s="21"/>
      <c r="D1112" s="21"/>
      <c r="E1112" s="21"/>
      <c r="H1112" s="93"/>
      <c r="T1112"/>
      <c r="U1112"/>
      <c r="V1112"/>
      <c r="W1112"/>
      <c r="X1112"/>
      <c r="Y1112"/>
      <c r="Z1112"/>
      <c r="AA1112"/>
    </row>
    <row r="1113" spans="1:27" s="17" customFormat="1" x14ac:dyDescent="0.35">
      <c r="A1113" s="21"/>
      <c r="B1113" s="21"/>
      <c r="D1113" s="21"/>
      <c r="E1113" s="21"/>
      <c r="H1113" s="93"/>
      <c r="T1113"/>
      <c r="U1113"/>
      <c r="V1113"/>
      <c r="W1113"/>
      <c r="X1113"/>
      <c r="Y1113"/>
      <c r="Z1113"/>
      <c r="AA1113"/>
    </row>
    <row r="1114" spans="1:27" s="17" customFormat="1" x14ac:dyDescent="0.35">
      <c r="A1114" s="21"/>
      <c r="B1114" s="21"/>
      <c r="D1114" s="21"/>
      <c r="E1114" s="21"/>
      <c r="H1114" s="93"/>
      <c r="T1114"/>
      <c r="U1114"/>
      <c r="V1114"/>
      <c r="W1114"/>
      <c r="X1114"/>
      <c r="Y1114"/>
      <c r="Z1114"/>
      <c r="AA1114"/>
    </row>
    <row r="1115" spans="1:27" s="17" customFormat="1" x14ac:dyDescent="0.35">
      <c r="A1115" s="21"/>
      <c r="B1115" s="21"/>
      <c r="D1115" s="21"/>
      <c r="E1115" s="21"/>
      <c r="H1115" s="93"/>
      <c r="T1115"/>
      <c r="U1115"/>
      <c r="V1115"/>
      <c r="W1115"/>
      <c r="X1115"/>
      <c r="Y1115"/>
      <c r="Z1115"/>
      <c r="AA1115"/>
    </row>
    <row r="1116" spans="1:27" s="17" customFormat="1" x14ac:dyDescent="0.35">
      <c r="A1116" s="21"/>
      <c r="B1116" s="21"/>
      <c r="D1116" s="21"/>
      <c r="E1116" s="21"/>
      <c r="H1116" s="93"/>
      <c r="T1116"/>
      <c r="U1116"/>
      <c r="V1116"/>
      <c r="W1116"/>
      <c r="X1116"/>
      <c r="Y1116"/>
      <c r="Z1116"/>
      <c r="AA1116"/>
    </row>
    <row r="1117" spans="1:27" s="17" customFormat="1" x14ac:dyDescent="0.35">
      <c r="A1117" s="21"/>
      <c r="B1117" s="21"/>
      <c r="D1117" s="21"/>
      <c r="E1117" s="21"/>
      <c r="H1117" s="93"/>
      <c r="T1117"/>
      <c r="U1117"/>
      <c r="V1117"/>
      <c r="W1117"/>
      <c r="X1117"/>
      <c r="Y1117"/>
      <c r="Z1117"/>
      <c r="AA1117"/>
    </row>
    <row r="1118" spans="1:27" s="17" customFormat="1" x14ac:dyDescent="0.35">
      <c r="A1118" s="21"/>
      <c r="B1118" s="21"/>
      <c r="D1118" s="21"/>
      <c r="E1118" s="21"/>
      <c r="H1118" s="93"/>
      <c r="T1118"/>
      <c r="U1118"/>
      <c r="V1118"/>
      <c r="W1118"/>
      <c r="X1118"/>
      <c r="Y1118"/>
      <c r="Z1118"/>
      <c r="AA1118"/>
    </row>
    <row r="1119" spans="1:27" s="17" customFormat="1" x14ac:dyDescent="0.35">
      <c r="A1119" s="21"/>
      <c r="B1119" s="21"/>
      <c r="D1119" s="21"/>
      <c r="E1119" s="21"/>
      <c r="H1119" s="93"/>
      <c r="T1119"/>
      <c r="U1119"/>
      <c r="V1119"/>
      <c r="W1119"/>
      <c r="X1119"/>
      <c r="Y1119"/>
      <c r="Z1119"/>
      <c r="AA1119"/>
    </row>
    <row r="1120" spans="1:27" s="17" customFormat="1" x14ac:dyDescent="0.35">
      <c r="A1120" s="21"/>
      <c r="B1120" s="21"/>
      <c r="D1120" s="21"/>
      <c r="E1120" s="21"/>
      <c r="H1120" s="93"/>
      <c r="T1120"/>
      <c r="U1120"/>
      <c r="V1120"/>
      <c r="W1120"/>
      <c r="X1120"/>
      <c r="Y1120"/>
      <c r="Z1120"/>
      <c r="AA1120"/>
    </row>
    <row r="1121" spans="1:27" s="17" customFormat="1" x14ac:dyDescent="0.35">
      <c r="A1121" s="21"/>
      <c r="B1121" s="21"/>
      <c r="D1121" s="21"/>
      <c r="E1121" s="21"/>
      <c r="H1121" s="93"/>
      <c r="T1121"/>
      <c r="U1121"/>
      <c r="V1121"/>
      <c r="W1121"/>
      <c r="X1121"/>
      <c r="Y1121"/>
      <c r="Z1121"/>
      <c r="AA1121"/>
    </row>
    <row r="1122" spans="1:27" s="17" customFormat="1" x14ac:dyDescent="0.35">
      <c r="A1122" s="21"/>
      <c r="B1122" s="21"/>
      <c r="D1122" s="21"/>
      <c r="E1122" s="21"/>
      <c r="H1122" s="93"/>
      <c r="T1122"/>
      <c r="U1122"/>
      <c r="V1122"/>
      <c r="W1122"/>
      <c r="X1122"/>
      <c r="Y1122"/>
      <c r="Z1122"/>
      <c r="AA1122"/>
    </row>
    <row r="1123" spans="1:27" s="17" customFormat="1" x14ac:dyDescent="0.35">
      <c r="A1123" s="21"/>
      <c r="B1123" s="21"/>
      <c r="D1123" s="21"/>
      <c r="E1123" s="21"/>
      <c r="H1123" s="93"/>
      <c r="T1123"/>
      <c r="U1123"/>
      <c r="V1123"/>
      <c r="W1123"/>
      <c r="X1123"/>
      <c r="Y1123"/>
      <c r="Z1123"/>
      <c r="AA1123"/>
    </row>
    <row r="1124" spans="1:27" s="17" customFormat="1" x14ac:dyDescent="0.35">
      <c r="A1124" s="21"/>
      <c r="B1124" s="21"/>
      <c r="D1124" s="21"/>
      <c r="E1124" s="21"/>
      <c r="H1124" s="93"/>
      <c r="T1124"/>
      <c r="U1124"/>
      <c r="V1124"/>
      <c r="W1124"/>
      <c r="X1124"/>
      <c r="Y1124"/>
      <c r="Z1124"/>
      <c r="AA1124"/>
    </row>
    <row r="1125" spans="1:27" s="17" customFormat="1" x14ac:dyDescent="0.35">
      <c r="A1125" s="21"/>
      <c r="B1125" s="21"/>
      <c r="D1125" s="21"/>
      <c r="E1125" s="21"/>
      <c r="H1125" s="93"/>
      <c r="T1125"/>
      <c r="U1125"/>
      <c r="V1125"/>
      <c r="W1125"/>
      <c r="X1125"/>
      <c r="Y1125"/>
      <c r="Z1125"/>
      <c r="AA1125"/>
    </row>
    <row r="1126" spans="1:27" s="17" customFormat="1" x14ac:dyDescent="0.35">
      <c r="A1126" s="21"/>
      <c r="B1126" s="21"/>
      <c r="D1126" s="21"/>
      <c r="E1126" s="21"/>
      <c r="H1126" s="93"/>
      <c r="T1126"/>
      <c r="U1126"/>
      <c r="V1126"/>
      <c r="W1126"/>
      <c r="X1126"/>
      <c r="Y1126"/>
      <c r="Z1126"/>
      <c r="AA1126"/>
    </row>
    <row r="1127" spans="1:27" s="17" customFormat="1" x14ac:dyDescent="0.35">
      <c r="A1127" s="21"/>
      <c r="B1127" s="21"/>
      <c r="D1127" s="21"/>
      <c r="E1127" s="21"/>
      <c r="H1127" s="93"/>
      <c r="T1127"/>
      <c r="U1127"/>
      <c r="V1127"/>
      <c r="W1127"/>
      <c r="X1127"/>
      <c r="Y1127"/>
      <c r="Z1127"/>
      <c r="AA1127"/>
    </row>
    <row r="1128" spans="1:27" s="17" customFormat="1" x14ac:dyDescent="0.35">
      <c r="A1128" s="21"/>
      <c r="B1128" s="21"/>
      <c r="D1128" s="21"/>
      <c r="E1128" s="21"/>
      <c r="H1128" s="93"/>
      <c r="T1128"/>
      <c r="U1128"/>
      <c r="V1128"/>
      <c r="W1128"/>
      <c r="X1128"/>
      <c r="Y1128"/>
      <c r="Z1128"/>
      <c r="AA1128"/>
    </row>
    <row r="1129" spans="1:27" s="17" customFormat="1" x14ac:dyDescent="0.35">
      <c r="A1129" s="21"/>
      <c r="B1129" s="21"/>
      <c r="D1129" s="21"/>
      <c r="E1129" s="21"/>
      <c r="H1129" s="93"/>
      <c r="T1129"/>
      <c r="U1129"/>
      <c r="V1129"/>
      <c r="W1129"/>
      <c r="X1129"/>
      <c r="Y1129"/>
      <c r="Z1129"/>
      <c r="AA1129"/>
    </row>
    <row r="1130" spans="1:27" s="17" customFormat="1" x14ac:dyDescent="0.35">
      <c r="A1130" s="21"/>
      <c r="B1130" s="21"/>
      <c r="D1130" s="21"/>
      <c r="E1130" s="21"/>
      <c r="H1130" s="93"/>
      <c r="T1130"/>
      <c r="U1130"/>
      <c r="V1130"/>
      <c r="W1130"/>
      <c r="X1130"/>
      <c r="Y1130"/>
      <c r="Z1130"/>
      <c r="AA1130"/>
    </row>
    <row r="1131" spans="1:27" s="17" customFormat="1" x14ac:dyDescent="0.35">
      <c r="A1131" s="21"/>
      <c r="B1131" s="21"/>
      <c r="D1131" s="21"/>
      <c r="E1131" s="21"/>
      <c r="H1131" s="93"/>
      <c r="T1131"/>
      <c r="U1131"/>
      <c r="V1131"/>
      <c r="W1131"/>
      <c r="X1131"/>
      <c r="Y1131"/>
      <c r="Z1131"/>
      <c r="AA1131"/>
    </row>
    <row r="1132" spans="1:27" s="17" customFormat="1" x14ac:dyDescent="0.35">
      <c r="A1132" s="21"/>
      <c r="B1132" s="21"/>
      <c r="D1132" s="21"/>
      <c r="E1132" s="21"/>
      <c r="H1132" s="93"/>
      <c r="T1132"/>
      <c r="U1132"/>
      <c r="V1132"/>
      <c r="W1132"/>
      <c r="X1132"/>
      <c r="Y1132"/>
      <c r="Z1132"/>
      <c r="AA1132"/>
    </row>
    <row r="1133" spans="1:27" s="17" customFormat="1" x14ac:dyDescent="0.35">
      <c r="A1133" s="21"/>
      <c r="B1133" s="21"/>
      <c r="D1133" s="21"/>
      <c r="E1133" s="21"/>
      <c r="H1133" s="93"/>
      <c r="T1133"/>
      <c r="U1133"/>
      <c r="V1133"/>
      <c r="W1133"/>
      <c r="X1133"/>
      <c r="Y1133"/>
      <c r="Z1133"/>
      <c r="AA1133"/>
    </row>
    <row r="1134" spans="1:27" s="17" customFormat="1" x14ac:dyDescent="0.35">
      <c r="A1134" s="21"/>
      <c r="B1134" s="21"/>
      <c r="D1134" s="21"/>
      <c r="E1134" s="21"/>
      <c r="H1134" s="93"/>
      <c r="T1134"/>
      <c r="U1134"/>
      <c r="V1134"/>
      <c r="W1134"/>
      <c r="X1134"/>
      <c r="Y1134"/>
      <c r="Z1134"/>
      <c r="AA1134"/>
    </row>
    <row r="1135" spans="1:27" s="17" customFormat="1" x14ac:dyDescent="0.35">
      <c r="A1135" s="21"/>
      <c r="B1135" s="21"/>
      <c r="D1135" s="21"/>
      <c r="E1135" s="21"/>
      <c r="H1135" s="93"/>
      <c r="T1135"/>
      <c r="U1135"/>
      <c r="V1135"/>
      <c r="W1135"/>
      <c r="X1135"/>
      <c r="Y1135"/>
      <c r="Z1135"/>
      <c r="AA1135"/>
    </row>
    <row r="1136" spans="1:27" s="17" customFormat="1" x14ac:dyDescent="0.35">
      <c r="A1136" s="21"/>
      <c r="B1136" s="21"/>
      <c r="D1136" s="21"/>
      <c r="E1136" s="21"/>
      <c r="H1136" s="93"/>
      <c r="T1136"/>
      <c r="U1136"/>
      <c r="V1136"/>
      <c r="W1136"/>
      <c r="X1136"/>
      <c r="Y1136"/>
      <c r="Z1136"/>
      <c r="AA1136"/>
    </row>
    <row r="1137" spans="1:27" s="17" customFormat="1" x14ac:dyDescent="0.35">
      <c r="A1137" s="21"/>
      <c r="B1137" s="21"/>
      <c r="D1137" s="21"/>
      <c r="E1137" s="21"/>
      <c r="H1137" s="93"/>
      <c r="T1137"/>
      <c r="U1137"/>
      <c r="V1137"/>
      <c r="W1137"/>
      <c r="X1137"/>
      <c r="Y1137"/>
      <c r="Z1137"/>
      <c r="AA1137"/>
    </row>
    <row r="1138" spans="1:27" s="17" customFormat="1" x14ac:dyDescent="0.35">
      <c r="A1138" s="21"/>
      <c r="B1138" s="21"/>
      <c r="D1138" s="21"/>
      <c r="E1138" s="21"/>
      <c r="H1138" s="93"/>
      <c r="T1138"/>
      <c r="U1138"/>
      <c r="V1138"/>
      <c r="W1138"/>
      <c r="X1138"/>
      <c r="Y1138"/>
      <c r="Z1138"/>
      <c r="AA1138"/>
    </row>
    <row r="1139" spans="1:27" s="17" customFormat="1" x14ac:dyDescent="0.35">
      <c r="A1139" s="21"/>
      <c r="B1139" s="21"/>
      <c r="D1139" s="21"/>
      <c r="E1139" s="21"/>
      <c r="H1139" s="93"/>
      <c r="T1139"/>
      <c r="U1139"/>
      <c r="V1139"/>
      <c r="W1139"/>
      <c r="X1139"/>
      <c r="Y1139"/>
      <c r="Z1139"/>
      <c r="AA1139"/>
    </row>
    <row r="1140" spans="1:27" s="17" customFormat="1" x14ac:dyDescent="0.35">
      <c r="A1140" s="21"/>
      <c r="B1140" s="21"/>
      <c r="D1140" s="21"/>
      <c r="E1140" s="21"/>
      <c r="H1140" s="93"/>
      <c r="T1140"/>
      <c r="U1140"/>
      <c r="V1140"/>
      <c r="W1140"/>
      <c r="X1140"/>
      <c r="Y1140"/>
      <c r="Z1140"/>
      <c r="AA1140"/>
    </row>
    <row r="1141" spans="1:27" s="17" customFormat="1" x14ac:dyDescent="0.35">
      <c r="A1141" s="21"/>
      <c r="B1141" s="21"/>
      <c r="D1141" s="21"/>
      <c r="E1141" s="21"/>
      <c r="H1141" s="93"/>
      <c r="T1141"/>
      <c r="U1141"/>
      <c r="V1141"/>
      <c r="W1141"/>
      <c r="X1141"/>
      <c r="Y1141"/>
      <c r="Z1141"/>
      <c r="AA1141"/>
    </row>
    <row r="1142" spans="1:27" s="17" customFormat="1" x14ac:dyDescent="0.35">
      <c r="A1142" s="21"/>
      <c r="B1142" s="21"/>
      <c r="D1142" s="21"/>
      <c r="E1142" s="21"/>
      <c r="H1142" s="93"/>
      <c r="T1142"/>
      <c r="U1142"/>
      <c r="V1142"/>
      <c r="W1142"/>
      <c r="X1142"/>
      <c r="Y1142"/>
      <c r="Z1142"/>
      <c r="AA1142"/>
    </row>
    <row r="1143" spans="1:27" s="17" customFormat="1" x14ac:dyDescent="0.35">
      <c r="A1143" s="21"/>
      <c r="B1143" s="21"/>
      <c r="D1143" s="21"/>
      <c r="E1143" s="21"/>
      <c r="H1143" s="93"/>
      <c r="T1143"/>
      <c r="U1143"/>
      <c r="V1143"/>
      <c r="W1143"/>
      <c r="X1143"/>
      <c r="Y1143"/>
      <c r="Z1143"/>
      <c r="AA1143"/>
    </row>
    <row r="1144" spans="1:27" s="17" customFormat="1" x14ac:dyDescent="0.35">
      <c r="A1144" s="21"/>
      <c r="B1144" s="21"/>
      <c r="D1144" s="21"/>
      <c r="E1144" s="21"/>
      <c r="H1144" s="93"/>
      <c r="T1144"/>
      <c r="U1144"/>
      <c r="V1144"/>
      <c r="W1144"/>
      <c r="X1144"/>
      <c r="Y1144"/>
      <c r="Z1144"/>
      <c r="AA1144"/>
    </row>
    <row r="1145" spans="1:27" s="17" customFormat="1" x14ac:dyDescent="0.35">
      <c r="A1145" s="21"/>
      <c r="B1145" s="21"/>
      <c r="D1145" s="21"/>
      <c r="E1145" s="21"/>
      <c r="H1145" s="93"/>
      <c r="T1145"/>
      <c r="U1145"/>
      <c r="V1145"/>
      <c r="W1145"/>
      <c r="X1145"/>
      <c r="Y1145"/>
      <c r="Z1145"/>
      <c r="AA1145"/>
    </row>
    <row r="1146" spans="1:27" s="17" customFormat="1" x14ac:dyDescent="0.35">
      <c r="A1146" s="21"/>
      <c r="B1146" s="21"/>
      <c r="D1146" s="21"/>
      <c r="E1146" s="21"/>
      <c r="H1146" s="93"/>
      <c r="T1146"/>
      <c r="U1146"/>
      <c r="V1146"/>
      <c r="W1146"/>
      <c r="X1146"/>
      <c r="Y1146"/>
      <c r="Z1146"/>
      <c r="AA1146"/>
    </row>
    <row r="1147" spans="1:27" s="17" customFormat="1" x14ac:dyDescent="0.35">
      <c r="A1147" s="21"/>
      <c r="B1147" s="21"/>
      <c r="D1147" s="21"/>
      <c r="E1147" s="21"/>
      <c r="H1147" s="93"/>
      <c r="T1147"/>
      <c r="U1147"/>
      <c r="V1147"/>
      <c r="W1147"/>
      <c r="X1147"/>
      <c r="Y1147"/>
      <c r="Z1147"/>
      <c r="AA1147"/>
    </row>
    <row r="1148" spans="1:27" s="17" customFormat="1" x14ac:dyDescent="0.35">
      <c r="A1148" s="21"/>
      <c r="B1148" s="21"/>
      <c r="D1148" s="21"/>
      <c r="E1148" s="21"/>
      <c r="H1148" s="93"/>
      <c r="T1148"/>
      <c r="U1148"/>
      <c r="V1148"/>
      <c r="W1148"/>
      <c r="X1148"/>
      <c r="Y1148"/>
      <c r="Z1148"/>
      <c r="AA1148"/>
    </row>
    <row r="1149" spans="1:27" s="17" customFormat="1" x14ac:dyDescent="0.35">
      <c r="A1149" s="21"/>
      <c r="B1149" s="21"/>
      <c r="D1149" s="21"/>
      <c r="E1149" s="21"/>
      <c r="H1149" s="93"/>
      <c r="T1149"/>
      <c r="U1149"/>
      <c r="V1149"/>
      <c r="W1149"/>
      <c r="X1149"/>
      <c r="Y1149"/>
      <c r="Z1149"/>
      <c r="AA1149"/>
    </row>
    <row r="1150" spans="1:27" s="17" customFormat="1" x14ac:dyDescent="0.35">
      <c r="A1150" s="21"/>
      <c r="B1150" s="21"/>
      <c r="D1150" s="21"/>
      <c r="E1150" s="21"/>
      <c r="H1150" s="93"/>
      <c r="T1150"/>
      <c r="U1150"/>
      <c r="V1150"/>
      <c r="W1150"/>
      <c r="X1150"/>
      <c r="Y1150"/>
      <c r="Z1150"/>
      <c r="AA1150"/>
    </row>
    <row r="1151" spans="1:27" s="17" customFormat="1" x14ac:dyDescent="0.35">
      <c r="A1151" s="21"/>
      <c r="B1151" s="21"/>
      <c r="D1151" s="21"/>
      <c r="E1151" s="21"/>
      <c r="H1151" s="93"/>
      <c r="T1151"/>
      <c r="U1151"/>
      <c r="V1151"/>
      <c r="W1151"/>
      <c r="X1151"/>
      <c r="Y1151"/>
      <c r="Z1151"/>
      <c r="AA1151"/>
    </row>
    <row r="1152" spans="1:27" s="17" customFormat="1" x14ac:dyDescent="0.35">
      <c r="A1152" s="21"/>
      <c r="B1152" s="21"/>
      <c r="D1152" s="21"/>
      <c r="E1152" s="21"/>
      <c r="H1152" s="93"/>
      <c r="T1152"/>
      <c r="U1152"/>
      <c r="V1152"/>
      <c r="W1152"/>
      <c r="X1152"/>
      <c r="Y1152"/>
      <c r="Z1152"/>
      <c r="AA1152"/>
    </row>
    <row r="1153" spans="1:27" s="17" customFormat="1" x14ac:dyDescent="0.35">
      <c r="A1153" s="21"/>
      <c r="B1153" s="21"/>
      <c r="D1153" s="21"/>
      <c r="E1153" s="21"/>
      <c r="H1153" s="93"/>
      <c r="T1153"/>
      <c r="U1153"/>
      <c r="V1153"/>
      <c r="W1153"/>
      <c r="X1153"/>
      <c r="Y1153"/>
      <c r="Z1153"/>
      <c r="AA1153"/>
    </row>
    <row r="1154" spans="1:27" s="17" customFormat="1" x14ac:dyDescent="0.35">
      <c r="A1154" s="21"/>
      <c r="B1154" s="21"/>
      <c r="D1154" s="21"/>
      <c r="E1154" s="21"/>
      <c r="H1154" s="93"/>
      <c r="T1154"/>
      <c r="U1154"/>
      <c r="V1154"/>
      <c r="W1154"/>
      <c r="X1154"/>
      <c r="Y1154"/>
      <c r="Z1154"/>
      <c r="AA1154"/>
    </row>
    <row r="1155" spans="1:27" s="17" customFormat="1" x14ac:dyDescent="0.35">
      <c r="A1155" s="21"/>
      <c r="B1155" s="21"/>
      <c r="D1155" s="21"/>
      <c r="E1155" s="21"/>
      <c r="H1155" s="93"/>
      <c r="T1155"/>
      <c r="U1155"/>
      <c r="V1155"/>
      <c r="W1155"/>
      <c r="X1155"/>
      <c r="Y1155"/>
      <c r="Z1155"/>
      <c r="AA1155"/>
    </row>
    <row r="1156" spans="1:27" s="17" customFormat="1" x14ac:dyDescent="0.35">
      <c r="A1156" s="21"/>
      <c r="B1156" s="21"/>
      <c r="D1156" s="21"/>
      <c r="E1156" s="21"/>
      <c r="H1156" s="93"/>
      <c r="T1156"/>
      <c r="U1156"/>
      <c r="V1156"/>
      <c r="W1156"/>
      <c r="X1156"/>
      <c r="Y1156"/>
      <c r="Z1156"/>
      <c r="AA1156"/>
    </row>
    <row r="1157" spans="1:27" s="17" customFormat="1" x14ac:dyDescent="0.35">
      <c r="A1157" s="21"/>
      <c r="B1157" s="21"/>
      <c r="D1157" s="21"/>
      <c r="E1157" s="21"/>
      <c r="H1157" s="93"/>
      <c r="T1157"/>
      <c r="U1157"/>
      <c r="V1157"/>
      <c r="W1157"/>
      <c r="X1157"/>
      <c r="Y1157"/>
      <c r="Z1157"/>
      <c r="AA1157"/>
    </row>
    <row r="1158" spans="1:27" s="17" customFormat="1" x14ac:dyDescent="0.35">
      <c r="A1158" s="21"/>
      <c r="B1158" s="21"/>
      <c r="D1158" s="21"/>
      <c r="E1158" s="21"/>
      <c r="H1158" s="93"/>
      <c r="T1158"/>
      <c r="U1158"/>
      <c r="V1158"/>
      <c r="W1158"/>
      <c r="X1158"/>
      <c r="Y1158"/>
      <c r="Z1158"/>
      <c r="AA1158"/>
    </row>
    <row r="1159" spans="1:27" s="17" customFormat="1" x14ac:dyDescent="0.35">
      <c r="A1159" s="21"/>
      <c r="B1159" s="21"/>
      <c r="D1159" s="21"/>
      <c r="E1159" s="21"/>
      <c r="H1159" s="93"/>
      <c r="T1159"/>
      <c r="U1159"/>
      <c r="V1159"/>
      <c r="W1159"/>
      <c r="X1159"/>
      <c r="Y1159"/>
      <c r="Z1159"/>
      <c r="AA1159"/>
    </row>
    <row r="1160" spans="1:27" s="17" customFormat="1" x14ac:dyDescent="0.35">
      <c r="A1160" s="21"/>
      <c r="B1160" s="21"/>
      <c r="D1160" s="21"/>
      <c r="E1160" s="21"/>
      <c r="H1160" s="93"/>
      <c r="T1160"/>
      <c r="U1160"/>
      <c r="V1160"/>
      <c r="W1160"/>
      <c r="X1160"/>
      <c r="Y1160"/>
      <c r="Z1160"/>
      <c r="AA1160"/>
    </row>
    <row r="1161" spans="1:27" s="17" customFormat="1" x14ac:dyDescent="0.35">
      <c r="A1161" s="21"/>
      <c r="B1161" s="21"/>
      <c r="D1161" s="21"/>
      <c r="E1161" s="21"/>
      <c r="H1161" s="93"/>
      <c r="T1161"/>
      <c r="U1161"/>
      <c r="V1161"/>
      <c r="W1161"/>
      <c r="X1161"/>
      <c r="Y1161"/>
      <c r="Z1161"/>
      <c r="AA1161"/>
    </row>
    <row r="1162" spans="1:27" s="17" customFormat="1" x14ac:dyDescent="0.35">
      <c r="A1162" s="21"/>
      <c r="B1162" s="21"/>
      <c r="D1162" s="21"/>
      <c r="E1162" s="21"/>
      <c r="H1162" s="93"/>
      <c r="T1162"/>
      <c r="U1162"/>
      <c r="V1162"/>
      <c r="W1162"/>
      <c r="X1162"/>
      <c r="Y1162"/>
      <c r="Z1162"/>
      <c r="AA1162"/>
    </row>
    <row r="1163" spans="1:27" s="17" customFormat="1" x14ac:dyDescent="0.35">
      <c r="A1163" s="21"/>
      <c r="B1163" s="21"/>
      <c r="D1163" s="21"/>
      <c r="E1163" s="21"/>
      <c r="H1163" s="93"/>
      <c r="T1163"/>
      <c r="U1163"/>
      <c r="V1163"/>
      <c r="W1163"/>
      <c r="X1163"/>
      <c r="Y1163"/>
      <c r="Z1163"/>
      <c r="AA1163"/>
    </row>
    <row r="1164" spans="1:27" s="17" customFormat="1" x14ac:dyDescent="0.35">
      <c r="A1164" s="21"/>
      <c r="B1164" s="21"/>
      <c r="D1164" s="21"/>
      <c r="E1164" s="21"/>
      <c r="H1164" s="93"/>
      <c r="T1164"/>
      <c r="U1164"/>
      <c r="V1164"/>
      <c r="W1164"/>
      <c r="X1164"/>
      <c r="Y1164"/>
      <c r="Z1164"/>
      <c r="AA1164"/>
    </row>
    <row r="1165" spans="1:27" s="17" customFormat="1" x14ac:dyDescent="0.35">
      <c r="A1165" s="21"/>
      <c r="B1165" s="21"/>
      <c r="D1165" s="21"/>
      <c r="E1165" s="21"/>
      <c r="H1165" s="93"/>
      <c r="T1165"/>
      <c r="U1165"/>
      <c r="V1165"/>
      <c r="W1165"/>
      <c r="X1165"/>
      <c r="Y1165"/>
      <c r="Z1165"/>
      <c r="AA1165"/>
    </row>
    <row r="1166" spans="1:27" s="17" customFormat="1" x14ac:dyDescent="0.35">
      <c r="A1166" s="21"/>
      <c r="B1166" s="21"/>
      <c r="D1166" s="21"/>
      <c r="E1166" s="21"/>
      <c r="H1166" s="93"/>
      <c r="T1166"/>
      <c r="U1166"/>
      <c r="V1166"/>
      <c r="W1166"/>
      <c r="X1166"/>
      <c r="Y1166"/>
      <c r="Z1166"/>
      <c r="AA1166"/>
    </row>
    <row r="1167" spans="1:27" s="17" customFormat="1" x14ac:dyDescent="0.35">
      <c r="A1167" s="21"/>
      <c r="B1167" s="21"/>
      <c r="D1167" s="21"/>
      <c r="E1167" s="21"/>
      <c r="H1167" s="93"/>
      <c r="T1167"/>
      <c r="U1167"/>
      <c r="V1167"/>
      <c r="W1167"/>
      <c r="X1167"/>
      <c r="Y1167"/>
      <c r="Z1167"/>
      <c r="AA1167"/>
    </row>
    <row r="1168" spans="1:27" s="17" customFormat="1" x14ac:dyDescent="0.35">
      <c r="A1168" s="21"/>
      <c r="B1168" s="21"/>
      <c r="D1168" s="21"/>
      <c r="E1168" s="21"/>
      <c r="H1168" s="93"/>
      <c r="T1168"/>
      <c r="U1168"/>
      <c r="V1168"/>
      <c r="W1168"/>
      <c r="X1168"/>
      <c r="Y1168"/>
      <c r="Z1168"/>
      <c r="AA1168"/>
    </row>
    <row r="1169" spans="1:27" s="17" customFormat="1" x14ac:dyDescent="0.35">
      <c r="A1169" s="21"/>
      <c r="B1169" s="21"/>
      <c r="D1169" s="21"/>
      <c r="E1169" s="21"/>
      <c r="H1169" s="93"/>
      <c r="T1169"/>
      <c r="U1169"/>
      <c r="V1169"/>
      <c r="W1169"/>
      <c r="X1169"/>
      <c r="Y1169"/>
      <c r="Z1169"/>
      <c r="AA1169"/>
    </row>
    <row r="1170" spans="1:27" s="17" customFormat="1" x14ac:dyDescent="0.35">
      <c r="A1170" s="21"/>
      <c r="B1170" s="21"/>
      <c r="D1170" s="21"/>
      <c r="E1170" s="21"/>
      <c r="H1170" s="93"/>
      <c r="T1170"/>
      <c r="U1170"/>
      <c r="V1170"/>
      <c r="W1170"/>
      <c r="X1170"/>
      <c r="Y1170"/>
      <c r="Z1170"/>
      <c r="AA1170"/>
    </row>
    <row r="1171" spans="1:27" s="17" customFormat="1" x14ac:dyDescent="0.35">
      <c r="A1171" s="21"/>
      <c r="B1171" s="21"/>
      <c r="D1171" s="21"/>
      <c r="E1171" s="21"/>
      <c r="H1171" s="93"/>
      <c r="T1171"/>
      <c r="U1171"/>
      <c r="V1171"/>
      <c r="W1171"/>
      <c r="X1171"/>
      <c r="Y1171"/>
      <c r="Z1171"/>
      <c r="AA1171"/>
    </row>
    <row r="1172" spans="1:27" s="17" customFormat="1" x14ac:dyDescent="0.35">
      <c r="A1172" s="21"/>
      <c r="B1172" s="21"/>
      <c r="D1172" s="21"/>
      <c r="E1172" s="21"/>
      <c r="H1172" s="93"/>
      <c r="T1172"/>
      <c r="U1172"/>
      <c r="V1172"/>
      <c r="W1172"/>
      <c r="X1172"/>
      <c r="Y1172"/>
      <c r="Z1172"/>
      <c r="AA1172"/>
    </row>
    <row r="1173" spans="1:27" s="17" customFormat="1" x14ac:dyDescent="0.35">
      <c r="A1173" s="21"/>
      <c r="B1173" s="21"/>
      <c r="D1173" s="21"/>
      <c r="E1173" s="21"/>
      <c r="H1173" s="93"/>
      <c r="T1173"/>
      <c r="U1173"/>
      <c r="V1173"/>
      <c r="W1173"/>
      <c r="X1173"/>
      <c r="Y1173"/>
      <c r="Z1173"/>
      <c r="AA1173"/>
    </row>
    <row r="1174" spans="1:27" s="17" customFormat="1" x14ac:dyDescent="0.35">
      <c r="A1174" s="21"/>
      <c r="B1174" s="21"/>
      <c r="D1174" s="21"/>
      <c r="E1174" s="21"/>
      <c r="H1174" s="93"/>
      <c r="T1174"/>
      <c r="U1174"/>
      <c r="V1174"/>
      <c r="W1174"/>
      <c r="X1174"/>
      <c r="Y1174"/>
      <c r="Z1174"/>
      <c r="AA1174"/>
    </row>
    <row r="1175" spans="1:27" s="17" customFormat="1" x14ac:dyDescent="0.35">
      <c r="A1175" s="21"/>
      <c r="B1175" s="21"/>
      <c r="D1175" s="21"/>
      <c r="E1175" s="21"/>
      <c r="H1175" s="93"/>
      <c r="T1175"/>
      <c r="U1175"/>
      <c r="V1175"/>
      <c r="W1175"/>
      <c r="X1175"/>
      <c r="Y1175"/>
      <c r="Z1175"/>
      <c r="AA1175"/>
    </row>
    <row r="1176" spans="1:27" s="17" customFormat="1" x14ac:dyDescent="0.35">
      <c r="A1176" s="21"/>
      <c r="B1176" s="21"/>
      <c r="D1176" s="21"/>
      <c r="E1176" s="21"/>
      <c r="H1176" s="93"/>
      <c r="T1176"/>
      <c r="U1176"/>
      <c r="V1176"/>
      <c r="W1176"/>
      <c r="X1176"/>
      <c r="Y1176"/>
      <c r="Z1176"/>
      <c r="AA1176"/>
    </row>
    <row r="1177" spans="1:27" s="17" customFormat="1" x14ac:dyDescent="0.35">
      <c r="A1177" s="21"/>
      <c r="B1177" s="21"/>
      <c r="D1177" s="21"/>
      <c r="E1177" s="21"/>
      <c r="H1177" s="93"/>
      <c r="T1177"/>
      <c r="U1177"/>
      <c r="V1177"/>
      <c r="W1177"/>
      <c r="X1177"/>
      <c r="Y1177"/>
      <c r="Z1177"/>
      <c r="AA1177"/>
    </row>
    <row r="1178" spans="1:27" s="17" customFormat="1" x14ac:dyDescent="0.35">
      <c r="A1178" s="21"/>
      <c r="B1178" s="21"/>
      <c r="D1178" s="21"/>
      <c r="E1178" s="21"/>
      <c r="H1178" s="93"/>
      <c r="T1178"/>
      <c r="U1178"/>
      <c r="V1178"/>
      <c r="W1178"/>
      <c r="X1178"/>
      <c r="Y1178"/>
      <c r="Z1178"/>
      <c r="AA1178"/>
    </row>
    <row r="1179" spans="1:27" s="17" customFormat="1" x14ac:dyDescent="0.35">
      <c r="A1179" s="21"/>
      <c r="B1179" s="21"/>
      <c r="D1179" s="21"/>
      <c r="E1179" s="21"/>
      <c r="H1179" s="93"/>
      <c r="T1179"/>
      <c r="U1179"/>
      <c r="V1179"/>
      <c r="W1179"/>
      <c r="X1179"/>
      <c r="Y1179"/>
      <c r="Z1179"/>
      <c r="AA1179"/>
    </row>
    <row r="1180" spans="1:27" s="17" customFormat="1" x14ac:dyDescent="0.35">
      <c r="A1180" s="21"/>
      <c r="B1180" s="21"/>
      <c r="D1180" s="21"/>
      <c r="E1180" s="21"/>
      <c r="H1180" s="93"/>
      <c r="T1180"/>
      <c r="U1180"/>
      <c r="V1180"/>
      <c r="W1180"/>
      <c r="X1180"/>
      <c r="Y1180"/>
      <c r="Z1180"/>
      <c r="AA1180"/>
    </row>
    <row r="1181" spans="1:27" s="17" customFormat="1" x14ac:dyDescent="0.35">
      <c r="A1181" s="21"/>
      <c r="B1181" s="21"/>
      <c r="D1181" s="21"/>
      <c r="E1181" s="21"/>
      <c r="H1181" s="93"/>
      <c r="T1181"/>
      <c r="U1181"/>
      <c r="V1181"/>
      <c r="W1181"/>
      <c r="X1181"/>
      <c r="Y1181"/>
      <c r="Z1181"/>
      <c r="AA1181"/>
    </row>
    <row r="1182" spans="1:27" s="17" customFormat="1" x14ac:dyDescent="0.35">
      <c r="A1182" s="21"/>
      <c r="B1182" s="21"/>
      <c r="D1182" s="21"/>
      <c r="E1182" s="21"/>
      <c r="H1182" s="93"/>
      <c r="T1182"/>
      <c r="U1182"/>
      <c r="V1182"/>
      <c r="W1182"/>
      <c r="X1182"/>
      <c r="Y1182"/>
      <c r="Z1182"/>
      <c r="AA1182"/>
    </row>
    <row r="1183" spans="1:27" s="17" customFormat="1" x14ac:dyDescent="0.35">
      <c r="A1183" s="21"/>
      <c r="B1183" s="21"/>
      <c r="D1183" s="21"/>
      <c r="E1183" s="21"/>
      <c r="H1183" s="93"/>
      <c r="T1183"/>
      <c r="U1183"/>
      <c r="V1183"/>
      <c r="W1183"/>
      <c r="X1183"/>
      <c r="Y1183"/>
      <c r="Z1183"/>
      <c r="AA1183"/>
    </row>
    <row r="1184" spans="1:27" s="17" customFormat="1" x14ac:dyDescent="0.35">
      <c r="A1184" s="21"/>
      <c r="B1184" s="21"/>
      <c r="D1184" s="21"/>
      <c r="E1184" s="21"/>
      <c r="H1184" s="93"/>
      <c r="T1184"/>
      <c r="U1184"/>
      <c r="V1184"/>
      <c r="W1184"/>
      <c r="X1184"/>
      <c r="Y1184"/>
      <c r="Z1184"/>
      <c r="AA1184"/>
    </row>
    <row r="1185" spans="1:27" s="17" customFormat="1" x14ac:dyDescent="0.35">
      <c r="A1185" s="21"/>
      <c r="B1185" s="21"/>
      <c r="D1185" s="21"/>
      <c r="E1185" s="21"/>
      <c r="H1185" s="93"/>
      <c r="T1185"/>
      <c r="U1185"/>
      <c r="V1185"/>
      <c r="W1185"/>
      <c r="X1185"/>
      <c r="Y1185"/>
      <c r="Z1185"/>
      <c r="AA1185"/>
    </row>
    <row r="1186" spans="1:27" s="17" customFormat="1" x14ac:dyDescent="0.35">
      <c r="A1186" s="21"/>
      <c r="B1186" s="21"/>
      <c r="D1186" s="21"/>
      <c r="E1186" s="21"/>
      <c r="H1186" s="93"/>
      <c r="T1186"/>
      <c r="U1186"/>
      <c r="V1186"/>
      <c r="W1186"/>
      <c r="X1186"/>
      <c r="Y1186"/>
      <c r="Z1186"/>
      <c r="AA1186"/>
    </row>
    <row r="1187" spans="1:27" s="17" customFormat="1" x14ac:dyDescent="0.35">
      <c r="A1187" s="21"/>
      <c r="B1187" s="21"/>
      <c r="D1187" s="21"/>
      <c r="E1187" s="21"/>
      <c r="H1187" s="93"/>
      <c r="T1187"/>
      <c r="U1187"/>
      <c r="V1187"/>
      <c r="W1187"/>
      <c r="X1187"/>
      <c r="Y1187"/>
      <c r="Z1187"/>
      <c r="AA1187"/>
    </row>
    <row r="1188" spans="1:27" s="17" customFormat="1" x14ac:dyDescent="0.35">
      <c r="A1188" s="21"/>
      <c r="B1188" s="21"/>
      <c r="D1188" s="21"/>
      <c r="E1188" s="21"/>
      <c r="H1188" s="93"/>
      <c r="T1188"/>
      <c r="U1188"/>
      <c r="V1188"/>
      <c r="W1188"/>
      <c r="X1188"/>
      <c r="Y1188"/>
      <c r="Z1188"/>
      <c r="AA1188"/>
    </row>
    <row r="1189" spans="1:27" s="17" customFormat="1" x14ac:dyDescent="0.35">
      <c r="A1189" s="21"/>
      <c r="B1189" s="21"/>
      <c r="D1189" s="21"/>
      <c r="E1189" s="21"/>
      <c r="H1189" s="93"/>
      <c r="T1189"/>
      <c r="U1189"/>
      <c r="V1189"/>
      <c r="W1189"/>
      <c r="X1189"/>
      <c r="Y1189"/>
      <c r="Z1189"/>
      <c r="AA1189"/>
    </row>
    <row r="1190" spans="1:27" s="17" customFormat="1" x14ac:dyDescent="0.35">
      <c r="A1190" s="21"/>
      <c r="B1190" s="21"/>
      <c r="D1190" s="21"/>
      <c r="E1190" s="21"/>
      <c r="H1190" s="93"/>
      <c r="T1190"/>
      <c r="U1190"/>
      <c r="V1190"/>
      <c r="W1190"/>
      <c r="X1190"/>
      <c r="Y1190"/>
      <c r="Z1190"/>
      <c r="AA1190"/>
    </row>
    <row r="1191" spans="1:27" s="17" customFormat="1" x14ac:dyDescent="0.35">
      <c r="A1191" s="21"/>
      <c r="B1191" s="21"/>
      <c r="D1191" s="21"/>
      <c r="E1191" s="21"/>
      <c r="H1191" s="93"/>
      <c r="T1191"/>
      <c r="U1191"/>
      <c r="V1191"/>
      <c r="W1191"/>
      <c r="X1191"/>
      <c r="Y1191"/>
      <c r="Z1191"/>
      <c r="AA1191"/>
    </row>
    <row r="1192" spans="1:27" s="17" customFormat="1" x14ac:dyDescent="0.35">
      <c r="A1192" s="21"/>
      <c r="B1192" s="21"/>
      <c r="D1192" s="21"/>
      <c r="E1192" s="21"/>
      <c r="H1192" s="93"/>
      <c r="T1192"/>
      <c r="U1192"/>
      <c r="V1192"/>
      <c r="W1192"/>
      <c r="X1192"/>
      <c r="Y1192"/>
      <c r="Z1192"/>
      <c r="AA1192"/>
    </row>
    <row r="1193" spans="1:27" s="17" customFormat="1" x14ac:dyDescent="0.35">
      <c r="A1193" s="21"/>
      <c r="B1193" s="21"/>
      <c r="D1193" s="21"/>
      <c r="E1193" s="21"/>
      <c r="H1193" s="93"/>
      <c r="T1193"/>
      <c r="U1193"/>
      <c r="V1193"/>
      <c r="W1193"/>
      <c r="X1193"/>
      <c r="Y1193"/>
      <c r="Z1193"/>
      <c r="AA1193"/>
    </row>
    <row r="1194" spans="1:27" s="17" customFormat="1" x14ac:dyDescent="0.35">
      <c r="A1194" s="21"/>
      <c r="B1194" s="21"/>
      <c r="D1194" s="21"/>
      <c r="E1194" s="21"/>
      <c r="H1194" s="93"/>
      <c r="T1194"/>
      <c r="U1194"/>
      <c r="V1194"/>
      <c r="W1194"/>
      <c r="X1194"/>
      <c r="Y1194"/>
      <c r="Z1194"/>
      <c r="AA1194"/>
    </row>
    <row r="1195" spans="1:27" s="17" customFormat="1" x14ac:dyDescent="0.35">
      <c r="A1195" s="21"/>
      <c r="B1195" s="21"/>
      <c r="D1195" s="21"/>
      <c r="E1195" s="21"/>
      <c r="H1195" s="93"/>
      <c r="T1195"/>
      <c r="U1195"/>
      <c r="V1195"/>
      <c r="W1195"/>
      <c r="X1195"/>
      <c r="Y1195"/>
      <c r="Z1195"/>
      <c r="AA1195"/>
    </row>
    <row r="1196" spans="1:27" s="17" customFormat="1" x14ac:dyDescent="0.35">
      <c r="A1196" s="21"/>
      <c r="B1196" s="21"/>
      <c r="D1196" s="21"/>
      <c r="E1196" s="21"/>
      <c r="H1196" s="93"/>
      <c r="T1196"/>
      <c r="U1196"/>
      <c r="V1196"/>
      <c r="W1196"/>
      <c r="X1196"/>
      <c r="Y1196"/>
      <c r="Z1196"/>
      <c r="AA1196"/>
    </row>
    <row r="1197" spans="1:27" s="17" customFormat="1" x14ac:dyDescent="0.35">
      <c r="A1197" s="21"/>
      <c r="B1197" s="21"/>
      <c r="D1197" s="21"/>
      <c r="E1197" s="21"/>
      <c r="H1197" s="93"/>
      <c r="T1197"/>
      <c r="U1197"/>
      <c r="V1197"/>
      <c r="W1197"/>
      <c r="X1197"/>
      <c r="Y1197"/>
      <c r="Z1197"/>
      <c r="AA1197"/>
    </row>
    <row r="1198" spans="1:27" s="17" customFormat="1" x14ac:dyDescent="0.35">
      <c r="A1198" s="21"/>
      <c r="B1198" s="21"/>
      <c r="D1198" s="21"/>
      <c r="E1198" s="21"/>
      <c r="H1198" s="93"/>
      <c r="T1198"/>
      <c r="U1198"/>
      <c r="V1198"/>
      <c r="W1198"/>
      <c r="X1198"/>
      <c r="Y1198"/>
      <c r="Z1198"/>
      <c r="AA1198"/>
    </row>
    <row r="1199" spans="1:27" s="17" customFormat="1" x14ac:dyDescent="0.35">
      <c r="A1199" s="21"/>
      <c r="B1199" s="21"/>
      <c r="D1199" s="21"/>
      <c r="E1199" s="21"/>
      <c r="H1199" s="93"/>
      <c r="T1199"/>
      <c r="U1199"/>
      <c r="V1199"/>
      <c r="W1199"/>
      <c r="X1199"/>
      <c r="Y1199"/>
      <c r="Z1199"/>
      <c r="AA1199"/>
    </row>
    <row r="1200" spans="1:27" s="17" customFormat="1" x14ac:dyDescent="0.35">
      <c r="A1200" s="21"/>
      <c r="B1200" s="21"/>
      <c r="D1200" s="21"/>
      <c r="E1200" s="21"/>
      <c r="H1200" s="93"/>
      <c r="T1200"/>
      <c r="U1200"/>
      <c r="V1200"/>
      <c r="W1200"/>
      <c r="X1200"/>
      <c r="Y1200"/>
      <c r="Z1200"/>
      <c r="AA1200"/>
    </row>
    <row r="1201" spans="1:27" s="17" customFormat="1" x14ac:dyDescent="0.35">
      <c r="A1201" s="21"/>
      <c r="B1201" s="21"/>
      <c r="D1201" s="21"/>
      <c r="E1201" s="21"/>
      <c r="H1201" s="93"/>
      <c r="T1201"/>
      <c r="U1201"/>
      <c r="V1201"/>
      <c r="W1201"/>
      <c r="X1201"/>
      <c r="Y1201"/>
      <c r="Z1201"/>
      <c r="AA1201"/>
    </row>
    <row r="1202" spans="1:27" s="17" customFormat="1" x14ac:dyDescent="0.35">
      <c r="A1202" s="21"/>
      <c r="B1202" s="21"/>
      <c r="D1202" s="21"/>
      <c r="E1202" s="21"/>
      <c r="H1202" s="93"/>
      <c r="T1202"/>
      <c r="U1202"/>
      <c r="V1202"/>
      <c r="W1202"/>
      <c r="X1202"/>
      <c r="Y1202"/>
      <c r="Z1202"/>
      <c r="AA1202"/>
    </row>
    <row r="1203" spans="1:27" s="17" customFormat="1" x14ac:dyDescent="0.35">
      <c r="A1203" s="21"/>
      <c r="B1203" s="21"/>
      <c r="D1203" s="21"/>
      <c r="E1203" s="21"/>
      <c r="H1203" s="93"/>
      <c r="T1203"/>
      <c r="U1203"/>
      <c r="V1203"/>
      <c r="W1203"/>
      <c r="X1203"/>
      <c r="Y1203"/>
      <c r="Z1203"/>
      <c r="AA1203"/>
    </row>
    <row r="1204" spans="1:27" s="17" customFormat="1" x14ac:dyDescent="0.35">
      <c r="A1204" s="21"/>
      <c r="B1204" s="21"/>
      <c r="D1204" s="21"/>
      <c r="E1204" s="21"/>
      <c r="H1204" s="93"/>
      <c r="T1204"/>
      <c r="U1204"/>
      <c r="V1204"/>
      <c r="W1204"/>
      <c r="X1204"/>
      <c r="Y1204"/>
      <c r="Z1204"/>
      <c r="AA1204"/>
    </row>
    <row r="1205" spans="1:27" s="17" customFormat="1" x14ac:dyDescent="0.35">
      <c r="A1205" s="21"/>
      <c r="B1205" s="21"/>
      <c r="D1205" s="21"/>
      <c r="E1205" s="21"/>
      <c r="H1205" s="93"/>
      <c r="T1205"/>
      <c r="U1205"/>
      <c r="V1205"/>
      <c r="W1205"/>
      <c r="X1205"/>
      <c r="Y1205"/>
      <c r="Z1205"/>
      <c r="AA1205"/>
    </row>
    <row r="1206" spans="1:27" s="17" customFormat="1" x14ac:dyDescent="0.35">
      <c r="A1206" s="21"/>
      <c r="B1206" s="21"/>
      <c r="D1206" s="21"/>
      <c r="E1206" s="21"/>
      <c r="H1206" s="93"/>
      <c r="T1206"/>
      <c r="U1206"/>
      <c r="V1206"/>
      <c r="W1206"/>
      <c r="X1206"/>
      <c r="Y1206"/>
      <c r="Z1206"/>
      <c r="AA1206"/>
    </row>
    <row r="1207" spans="1:27" s="17" customFormat="1" x14ac:dyDescent="0.35">
      <c r="A1207" s="21"/>
      <c r="B1207" s="21"/>
      <c r="D1207" s="21"/>
      <c r="E1207" s="21"/>
      <c r="H1207" s="93"/>
      <c r="T1207"/>
      <c r="U1207"/>
      <c r="V1207"/>
      <c r="W1207"/>
      <c r="X1207"/>
      <c r="Y1207"/>
      <c r="Z1207"/>
      <c r="AA1207"/>
    </row>
    <row r="1208" spans="1:27" s="17" customFormat="1" x14ac:dyDescent="0.35">
      <c r="A1208" s="21"/>
      <c r="B1208" s="21"/>
      <c r="D1208" s="21"/>
      <c r="E1208" s="21"/>
      <c r="H1208" s="93"/>
      <c r="T1208"/>
      <c r="U1208"/>
      <c r="V1208"/>
      <c r="W1208"/>
      <c r="X1208"/>
      <c r="Y1208"/>
      <c r="Z1208"/>
      <c r="AA1208"/>
    </row>
    <row r="1209" spans="1:27" s="17" customFormat="1" x14ac:dyDescent="0.35">
      <c r="A1209" s="21"/>
      <c r="B1209" s="21"/>
      <c r="D1209" s="21"/>
      <c r="E1209" s="21"/>
      <c r="H1209" s="93"/>
      <c r="T1209"/>
      <c r="U1209"/>
      <c r="V1209"/>
      <c r="W1209"/>
      <c r="X1209"/>
      <c r="Y1209"/>
      <c r="Z1209"/>
      <c r="AA1209"/>
    </row>
    <row r="1210" spans="1:27" s="17" customFormat="1" x14ac:dyDescent="0.35">
      <c r="A1210" s="21"/>
      <c r="B1210" s="21"/>
      <c r="D1210" s="21"/>
      <c r="E1210" s="21"/>
      <c r="H1210" s="93"/>
      <c r="T1210"/>
      <c r="U1210"/>
      <c r="V1210"/>
      <c r="W1210"/>
      <c r="X1210"/>
      <c r="Y1210"/>
      <c r="Z1210"/>
      <c r="AA1210"/>
    </row>
    <row r="1211" spans="1:27" s="17" customFormat="1" x14ac:dyDescent="0.35">
      <c r="A1211" s="21"/>
      <c r="B1211" s="21"/>
      <c r="D1211" s="21"/>
      <c r="E1211" s="21"/>
      <c r="H1211" s="93"/>
      <c r="T1211"/>
      <c r="U1211"/>
      <c r="V1211"/>
      <c r="W1211"/>
      <c r="X1211"/>
      <c r="Y1211"/>
      <c r="Z1211"/>
      <c r="AA1211"/>
    </row>
    <row r="1212" spans="1:27" s="17" customFormat="1" x14ac:dyDescent="0.35">
      <c r="A1212" s="21"/>
      <c r="B1212" s="21"/>
      <c r="D1212" s="21"/>
      <c r="E1212" s="21"/>
      <c r="H1212" s="93"/>
      <c r="T1212"/>
      <c r="U1212"/>
      <c r="V1212"/>
      <c r="W1212"/>
      <c r="X1212"/>
      <c r="Y1212"/>
      <c r="Z1212"/>
      <c r="AA1212"/>
    </row>
    <row r="1213" spans="1:27" s="17" customFormat="1" x14ac:dyDescent="0.35">
      <c r="A1213" s="21"/>
      <c r="B1213" s="21"/>
      <c r="D1213" s="21"/>
      <c r="E1213" s="21"/>
      <c r="H1213" s="93"/>
      <c r="T1213"/>
      <c r="U1213"/>
      <c r="V1213"/>
      <c r="W1213"/>
      <c r="X1213"/>
      <c r="Y1213"/>
      <c r="Z1213"/>
      <c r="AA1213"/>
    </row>
    <row r="1214" spans="1:27" s="17" customFormat="1" x14ac:dyDescent="0.35">
      <c r="A1214" s="21"/>
      <c r="B1214" s="21"/>
      <c r="D1214" s="21"/>
      <c r="E1214" s="21"/>
      <c r="H1214" s="93"/>
      <c r="T1214"/>
      <c r="U1214"/>
      <c r="V1214"/>
      <c r="W1214"/>
      <c r="X1214"/>
      <c r="Y1214"/>
      <c r="Z1214"/>
      <c r="AA1214"/>
    </row>
    <row r="1215" spans="1:27" s="17" customFormat="1" x14ac:dyDescent="0.35">
      <c r="A1215" s="21"/>
      <c r="B1215" s="21"/>
      <c r="D1215" s="21"/>
      <c r="E1215" s="21"/>
      <c r="H1215" s="93"/>
      <c r="T1215"/>
      <c r="U1215"/>
      <c r="V1215"/>
      <c r="W1215"/>
      <c r="X1215"/>
      <c r="Y1215"/>
      <c r="Z1215"/>
      <c r="AA1215"/>
    </row>
    <row r="1216" spans="1:27" s="17" customFormat="1" x14ac:dyDescent="0.35">
      <c r="A1216" s="21"/>
      <c r="B1216" s="21"/>
      <c r="D1216" s="21"/>
      <c r="E1216" s="21"/>
      <c r="H1216" s="93"/>
      <c r="T1216"/>
      <c r="U1216"/>
      <c r="V1216"/>
      <c r="W1216"/>
      <c r="X1216"/>
      <c r="Y1216"/>
      <c r="Z1216"/>
      <c r="AA1216"/>
    </row>
    <row r="1217" spans="1:27" s="17" customFormat="1" x14ac:dyDescent="0.35">
      <c r="A1217" s="21"/>
      <c r="B1217" s="21"/>
      <c r="D1217" s="21"/>
      <c r="E1217" s="21"/>
      <c r="H1217" s="93"/>
      <c r="T1217"/>
      <c r="U1217"/>
      <c r="V1217"/>
      <c r="W1217"/>
      <c r="X1217"/>
      <c r="Y1217"/>
      <c r="Z1217"/>
      <c r="AA1217"/>
    </row>
    <row r="1218" spans="1:27" s="17" customFormat="1" x14ac:dyDescent="0.35">
      <c r="A1218" s="21"/>
      <c r="B1218" s="21"/>
      <c r="D1218" s="21"/>
      <c r="E1218" s="21"/>
      <c r="H1218" s="93"/>
      <c r="T1218"/>
      <c r="U1218"/>
      <c r="V1218"/>
      <c r="W1218"/>
      <c r="X1218"/>
      <c r="Y1218"/>
      <c r="Z1218"/>
      <c r="AA1218"/>
    </row>
    <row r="1219" spans="1:27" s="17" customFormat="1" x14ac:dyDescent="0.35">
      <c r="A1219" s="21"/>
      <c r="B1219" s="21"/>
      <c r="D1219" s="21"/>
      <c r="E1219" s="21"/>
      <c r="H1219" s="93"/>
      <c r="T1219"/>
      <c r="U1219"/>
      <c r="V1219"/>
      <c r="W1219"/>
      <c r="X1219"/>
      <c r="Y1219"/>
      <c r="Z1219"/>
      <c r="AA1219"/>
    </row>
    <row r="1220" spans="1:27" s="17" customFormat="1" x14ac:dyDescent="0.35">
      <c r="A1220" s="21"/>
      <c r="B1220" s="21"/>
      <c r="D1220" s="21"/>
      <c r="E1220" s="21"/>
      <c r="H1220" s="93"/>
      <c r="T1220"/>
      <c r="U1220"/>
      <c r="V1220"/>
      <c r="W1220"/>
      <c r="X1220"/>
      <c r="Y1220"/>
      <c r="Z1220"/>
      <c r="AA1220"/>
    </row>
    <row r="1221" spans="1:27" s="17" customFormat="1" x14ac:dyDescent="0.35">
      <c r="A1221" s="21"/>
      <c r="B1221" s="21"/>
      <c r="D1221" s="21"/>
      <c r="E1221" s="21"/>
      <c r="H1221" s="93"/>
      <c r="T1221"/>
      <c r="U1221"/>
      <c r="V1221"/>
      <c r="W1221"/>
      <c r="X1221"/>
      <c r="Y1221"/>
      <c r="Z1221"/>
      <c r="AA1221"/>
    </row>
    <row r="1222" spans="1:27" s="17" customFormat="1" x14ac:dyDescent="0.35">
      <c r="A1222" s="21"/>
      <c r="B1222" s="21"/>
      <c r="D1222" s="21"/>
      <c r="E1222" s="21"/>
      <c r="H1222" s="93"/>
      <c r="T1222"/>
      <c r="U1222"/>
      <c r="V1222"/>
      <c r="W1222"/>
      <c r="X1222"/>
      <c r="Y1222"/>
      <c r="Z1222"/>
      <c r="AA1222"/>
    </row>
    <row r="1223" spans="1:27" s="17" customFormat="1" x14ac:dyDescent="0.35">
      <c r="A1223" s="21"/>
      <c r="B1223" s="21"/>
      <c r="D1223" s="21"/>
      <c r="E1223" s="21"/>
      <c r="H1223" s="93"/>
      <c r="T1223"/>
      <c r="U1223"/>
      <c r="V1223"/>
      <c r="W1223"/>
      <c r="X1223"/>
      <c r="Y1223"/>
      <c r="Z1223"/>
      <c r="AA1223"/>
    </row>
    <row r="1224" spans="1:27" s="17" customFormat="1" x14ac:dyDescent="0.35">
      <c r="A1224" s="21"/>
      <c r="B1224" s="21"/>
      <c r="D1224" s="21"/>
      <c r="E1224" s="21"/>
      <c r="H1224" s="93"/>
      <c r="T1224"/>
      <c r="U1224"/>
      <c r="V1224"/>
      <c r="W1224"/>
      <c r="X1224"/>
      <c r="Y1224"/>
      <c r="Z1224"/>
      <c r="AA1224"/>
    </row>
    <row r="1225" spans="1:27" s="17" customFormat="1" x14ac:dyDescent="0.35">
      <c r="A1225" s="21"/>
      <c r="B1225" s="21"/>
      <c r="D1225" s="21"/>
      <c r="E1225" s="21"/>
      <c r="H1225" s="93"/>
      <c r="T1225"/>
      <c r="U1225"/>
      <c r="V1225"/>
      <c r="W1225"/>
      <c r="X1225"/>
      <c r="Y1225"/>
      <c r="Z1225"/>
      <c r="AA1225"/>
    </row>
    <row r="1226" spans="1:27" s="17" customFormat="1" x14ac:dyDescent="0.35">
      <c r="A1226" s="21"/>
      <c r="B1226" s="21"/>
      <c r="D1226" s="21"/>
      <c r="E1226" s="21"/>
      <c r="H1226" s="93"/>
      <c r="T1226"/>
      <c r="U1226"/>
      <c r="V1226"/>
      <c r="W1226"/>
      <c r="X1226"/>
      <c r="Y1226"/>
      <c r="Z1226"/>
      <c r="AA1226"/>
    </row>
    <row r="1227" spans="1:27" s="17" customFormat="1" x14ac:dyDescent="0.35">
      <c r="A1227" s="21"/>
      <c r="B1227" s="21"/>
      <c r="D1227" s="21"/>
      <c r="E1227" s="21"/>
      <c r="H1227" s="93"/>
      <c r="T1227"/>
      <c r="U1227"/>
      <c r="V1227"/>
      <c r="W1227"/>
      <c r="X1227"/>
      <c r="Y1227"/>
      <c r="Z1227"/>
      <c r="AA1227"/>
    </row>
    <row r="1228" spans="1:27" s="17" customFormat="1" x14ac:dyDescent="0.35">
      <c r="A1228" s="21"/>
      <c r="B1228" s="21"/>
      <c r="D1228" s="21"/>
      <c r="E1228" s="21"/>
      <c r="H1228" s="93"/>
      <c r="T1228"/>
      <c r="U1228"/>
      <c r="V1228"/>
      <c r="W1228"/>
      <c r="X1228"/>
      <c r="Y1228"/>
      <c r="Z1228"/>
      <c r="AA1228"/>
    </row>
    <row r="1229" spans="1:27" s="17" customFormat="1" x14ac:dyDescent="0.35">
      <c r="A1229" s="21"/>
      <c r="B1229" s="21"/>
      <c r="D1229" s="21"/>
      <c r="E1229" s="21"/>
      <c r="H1229" s="93"/>
      <c r="T1229"/>
      <c r="U1229"/>
      <c r="V1229"/>
      <c r="W1229"/>
      <c r="X1229"/>
      <c r="Y1229"/>
      <c r="Z1229"/>
      <c r="AA1229"/>
    </row>
    <row r="1230" spans="1:27" s="17" customFormat="1" x14ac:dyDescent="0.35">
      <c r="A1230" s="21"/>
      <c r="B1230" s="21"/>
      <c r="D1230" s="21"/>
      <c r="E1230" s="21"/>
      <c r="H1230" s="93"/>
      <c r="T1230"/>
      <c r="U1230"/>
      <c r="V1230"/>
      <c r="W1230"/>
      <c r="X1230"/>
      <c r="Y1230"/>
      <c r="Z1230"/>
      <c r="AA1230"/>
    </row>
    <row r="1231" spans="1:27" s="17" customFormat="1" x14ac:dyDescent="0.35">
      <c r="A1231" s="21"/>
      <c r="B1231" s="21"/>
      <c r="D1231" s="21"/>
      <c r="E1231" s="21"/>
      <c r="H1231" s="93"/>
      <c r="T1231"/>
      <c r="U1231"/>
      <c r="V1231"/>
      <c r="W1231"/>
      <c r="X1231"/>
      <c r="Y1231"/>
      <c r="Z1231"/>
      <c r="AA1231"/>
    </row>
    <row r="1232" spans="1:27" s="17" customFormat="1" x14ac:dyDescent="0.35">
      <c r="A1232" s="21"/>
      <c r="B1232" s="21"/>
      <c r="D1232" s="21"/>
      <c r="E1232" s="21"/>
      <c r="H1232" s="93"/>
      <c r="T1232"/>
      <c r="U1232"/>
      <c r="V1232"/>
      <c r="W1232"/>
      <c r="X1232"/>
      <c r="Y1232"/>
      <c r="Z1232"/>
      <c r="AA1232"/>
    </row>
    <row r="1233" spans="1:27" s="17" customFormat="1" x14ac:dyDescent="0.35">
      <c r="A1233" s="21"/>
      <c r="B1233" s="21"/>
      <c r="D1233" s="21"/>
      <c r="E1233" s="21"/>
      <c r="H1233" s="93"/>
      <c r="T1233"/>
      <c r="U1233"/>
      <c r="V1233"/>
      <c r="W1233"/>
      <c r="X1233"/>
      <c r="Y1233"/>
      <c r="Z1233"/>
      <c r="AA1233"/>
    </row>
    <row r="1234" spans="1:27" s="17" customFormat="1" x14ac:dyDescent="0.35">
      <c r="A1234" s="21"/>
      <c r="B1234" s="21"/>
      <c r="D1234" s="21"/>
      <c r="E1234" s="21"/>
      <c r="H1234" s="93"/>
      <c r="T1234"/>
      <c r="U1234"/>
      <c r="V1234"/>
      <c r="W1234"/>
      <c r="X1234"/>
      <c r="Y1234"/>
      <c r="Z1234"/>
      <c r="AA1234"/>
    </row>
    <row r="1235" spans="1:27" s="17" customFormat="1" x14ac:dyDescent="0.35">
      <c r="A1235" s="21"/>
      <c r="B1235" s="21"/>
      <c r="D1235" s="21"/>
      <c r="E1235" s="21"/>
      <c r="H1235" s="93"/>
      <c r="T1235"/>
      <c r="U1235"/>
      <c r="V1235"/>
      <c r="W1235"/>
      <c r="X1235"/>
      <c r="Y1235"/>
      <c r="Z1235"/>
      <c r="AA1235"/>
    </row>
    <row r="1236" spans="1:27" s="17" customFormat="1" x14ac:dyDescent="0.35">
      <c r="A1236" s="21"/>
      <c r="B1236" s="21"/>
      <c r="D1236" s="21"/>
      <c r="E1236" s="21"/>
      <c r="H1236" s="93"/>
      <c r="T1236"/>
      <c r="U1236"/>
      <c r="V1236"/>
      <c r="W1236"/>
      <c r="X1236"/>
      <c r="Y1236"/>
      <c r="Z1236"/>
      <c r="AA1236"/>
    </row>
    <row r="1237" spans="1:27" s="17" customFormat="1" x14ac:dyDescent="0.35">
      <c r="A1237" s="21"/>
      <c r="B1237" s="21"/>
      <c r="D1237" s="21"/>
      <c r="E1237" s="21"/>
      <c r="H1237" s="93"/>
      <c r="T1237"/>
      <c r="U1237"/>
      <c r="V1237"/>
      <c r="W1237"/>
      <c r="X1237"/>
      <c r="Y1237"/>
      <c r="Z1237"/>
      <c r="AA1237"/>
    </row>
    <row r="1238" spans="1:27" s="17" customFormat="1" x14ac:dyDescent="0.35">
      <c r="A1238" s="21"/>
      <c r="B1238" s="21"/>
      <c r="D1238" s="21"/>
      <c r="E1238" s="21"/>
      <c r="H1238" s="93"/>
      <c r="T1238"/>
      <c r="U1238"/>
      <c r="V1238"/>
      <c r="W1238"/>
      <c r="X1238"/>
      <c r="Y1238"/>
      <c r="Z1238"/>
      <c r="AA1238"/>
    </row>
    <row r="1239" spans="1:27" s="17" customFormat="1" x14ac:dyDescent="0.35">
      <c r="A1239" s="21"/>
      <c r="B1239" s="21"/>
      <c r="D1239" s="21"/>
      <c r="E1239" s="21"/>
      <c r="H1239" s="93"/>
      <c r="T1239"/>
      <c r="U1239"/>
      <c r="V1239"/>
      <c r="W1239"/>
      <c r="X1239"/>
      <c r="Y1239"/>
      <c r="Z1239"/>
      <c r="AA1239"/>
    </row>
    <row r="1240" spans="1:27" s="17" customFormat="1" x14ac:dyDescent="0.35">
      <c r="A1240" s="21"/>
      <c r="B1240" s="21"/>
      <c r="D1240" s="21"/>
      <c r="E1240" s="21"/>
      <c r="H1240" s="93"/>
      <c r="T1240"/>
      <c r="U1240"/>
      <c r="V1240"/>
      <c r="W1240"/>
      <c r="X1240"/>
      <c r="Y1240"/>
      <c r="Z1240"/>
      <c r="AA1240"/>
    </row>
    <row r="1241" spans="1:27" s="17" customFormat="1" x14ac:dyDescent="0.35">
      <c r="A1241" s="21"/>
      <c r="B1241" s="21"/>
      <c r="D1241" s="21"/>
      <c r="E1241" s="21"/>
      <c r="H1241" s="93"/>
      <c r="T1241"/>
      <c r="U1241"/>
      <c r="V1241"/>
      <c r="W1241"/>
      <c r="X1241"/>
      <c r="Y1241"/>
      <c r="Z1241"/>
      <c r="AA1241"/>
    </row>
    <row r="1242" spans="1:27" s="17" customFormat="1" x14ac:dyDescent="0.35">
      <c r="A1242" s="21"/>
      <c r="B1242" s="21"/>
      <c r="D1242" s="21"/>
      <c r="E1242" s="21"/>
      <c r="H1242" s="93"/>
      <c r="T1242"/>
      <c r="U1242"/>
      <c r="V1242"/>
      <c r="W1242"/>
      <c r="X1242"/>
      <c r="Y1242"/>
      <c r="Z1242"/>
      <c r="AA1242"/>
    </row>
    <row r="1243" spans="1:27" s="17" customFormat="1" x14ac:dyDescent="0.35">
      <c r="A1243" s="21"/>
      <c r="B1243" s="21"/>
      <c r="D1243" s="21"/>
      <c r="E1243" s="21"/>
      <c r="H1243" s="93"/>
      <c r="T1243"/>
      <c r="U1243"/>
      <c r="V1243"/>
      <c r="W1243"/>
      <c r="X1243"/>
      <c r="Y1243"/>
      <c r="Z1243"/>
      <c r="AA1243"/>
    </row>
    <row r="1244" spans="1:27" s="17" customFormat="1" x14ac:dyDescent="0.35">
      <c r="A1244" s="21"/>
      <c r="B1244" s="21"/>
      <c r="D1244" s="21"/>
      <c r="E1244" s="21"/>
      <c r="H1244" s="93"/>
      <c r="T1244"/>
      <c r="U1244"/>
      <c r="V1244"/>
      <c r="W1244"/>
      <c r="X1244"/>
      <c r="Y1244"/>
      <c r="Z1244"/>
      <c r="AA1244"/>
    </row>
    <row r="1245" spans="1:27" s="17" customFormat="1" x14ac:dyDescent="0.35">
      <c r="A1245" s="21"/>
      <c r="B1245" s="21"/>
      <c r="D1245" s="21"/>
      <c r="E1245" s="21"/>
      <c r="H1245" s="93"/>
      <c r="T1245"/>
      <c r="U1245"/>
      <c r="V1245"/>
      <c r="W1245"/>
      <c r="X1245"/>
      <c r="Y1245"/>
      <c r="Z1245"/>
      <c r="AA1245"/>
    </row>
    <row r="1246" spans="1:27" s="17" customFormat="1" x14ac:dyDescent="0.35">
      <c r="A1246" s="21"/>
      <c r="B1246" s="21"/>
      <c r="D1246" s="21"/>
      <c r="E1246" s="21"/>
      <c r="H1246" s="93"/>
      <c r="T1246"/>
      <c r="U1246"/>
      <c r="V1246"/>
      <c r="W1246"/>
      <c r="X1246"/>
      <c r="Y1246"/>
      <c r="Z1246"/>
      <c r="AA1246"/>
    </row>
    <row r="1247" spans="1:27" s="17" customFormat="1" x14ac:dyDescent="0.35">
      <c r="A1247" s="21"/>
      <c r="B1247" s="21"/>
      <c r="D1247" s="21"/>
      <c r="E1247" s="21"/>
      <c r="H1247" s="93"/>
      <c r="T1247"/>
      <c r="U1247"/>
      <c r="V1247"/>
      <c r="W1247"/>
      <c r="X1247"/>
      <c r="Y1247"/>
      <c r="Z1247"/>
      <c r="AA1247"/>
    </row>
    <row r="1248" spans="1:27" s="17" customFormat="1" x14ac:dyDescent="0.35">
      <c r="A1248" s="21"/>
      <c r="B1248" s="21"/>
      <c r="D1248" s="21"/>
      <c r="E1248" s="21"/>
      <c r="H1248" s="93"/>
      <c r="T1248"/>
      <c r="U1248"/>
      <c r="V1248"/>
      <c r="W1248"/>
      <c r="X1248"/>
      <c r="Y1248"/>
      <c r="Z1248"/>
      <c r="AA1248"/>
    </row>
    <row r="1249" spans="1:27" s="17" customFormat="1" x14ac:dyDescent="0.35">
      <c r="A1249" s="21"/>
      <c r="B1249" s="21"/>
      <c r="D1249" s="21"/>
      <c r="E1249" s="21"/>
      <c r="H1249" s="93"/>
      <c r="T1249"/>
      <c r="U1249"/>
      <c r="V1249"/>
      <c r="W1249"/>
      <c r="X1249"/>
      <c r="Y1249"/>
      <c r="Z1249"/>
      <c r="AA1249"/>
    </row>
    <row r="1250" spans="1:27" s="17" customFormat="1" x14ac:dyDescent="0.35">
      <c r="A1250" s="21"/>
      <c r="B1250" s="21"/>
      <c r="D1250" s="21"/>
      <c r="E1250" s="21"/>
      <c r="H1250" s="93"/>
      <c r="T1250"/>
      <c r="U1250"/>
      <c r="V1250"/>
      <c r="W1250"/>
      <c r="X1250"/>
      <c r="Y1250"/>
      <c r="Z1250"/>
      <c r="AA1250"/>
    </row>
    <row r="1251" spans="1:27" s="17" customFormat="1" x14ac:dyDescent="0.35">
      <c r="A1251" s="21"/>
      <c r="B1251" s="21"/>
      <c r="D1251" s="21"/>
      <c r="E1251" s="21"/>
      <c r="H1251" s="93"/>
      <c r="T1251"/>
      <c r="U1251"/>
      <c r="V1251"/>
      <c r="W1251"/>
      <c r="X1251"/>
      <c r="Y1251"/>
      <c r="Z1251"/>
      <c r="AA1251"/>
    </row>
    <row r="1252" spans="1:27" s="17" customFormat="1" x14ac:dyDescent="0.35">
      <c r="A1252" s="21"/>
      <c r="B1252" s="21"/>
      <c r="D1252" s="21"/>
      <c r="E1252" s="21"/>
      <c r="H1252" s="93"/>
      <c r="T1252"/>
      <c r="U1252"/>
      <c r="V1252"/>
      <c r="W1252"/>
      <c r="X1252"/>
      <c r="Y1252"/>
      <c r="Z1252"/>
      <c r="AA1252"/>
    </row>
    <row r="1253" spans="1:27" s="17" customFormat="1" x14ac:dyDescent="0.35">
      <c r="A1253" s="21"/>
      <c r="B1253" s="21"/>
      <c r="D1253" s="21"/>
      <c r="E1253" s="21"/>
      <c r="H1253" s="93"/>
      <c r="T1253"/>
      <c r="U1253"/>
      <c r="V1253"/>
      <c r="W1253"/>
      <c r="X1253"/>
      <c r="Y1253"/>
      <c r="Z1253"/>
      <c r="AA1253"/>
    </row>
    <row r="1254" spans="1:27" s="17" customFormat="1" x14ac:dyDescent="0.35">
      <c r="A1254" s="21"/>
      <c r="B1254" s="21"/>
      <c r="D1254" s="21"/>
      <c r="E1254" s="21"/>
      <c r="H1254" s="93"/>
      <c r="T1254"/>
      <c r="U1254"/>
      <c r="V1254"/>
      <c r="W1254"/>
      <c r="X1254"/>
      <c r="Y1254"/>
      <c r="Z1254"/>
      <c r="AA1254"/>
    </row>
    <row r="1255" spans="1:27" s="17" customFormat="1" x14ac:dyDescent="0.35">
      <c r="A1255" s="21"/>
      <c r="B1255" s="21"/>
      <c r="D1255" s="21"/>
      <c r="E1255" s="21"/>
      <c r="H1255" s="93"/>
      <c r="T1255"/>
      <c r="U1255"/>
      <c r="V1255"/>
      <c r="W1255"/>
      <c r="X1255"/>
      <c r="Y1255"/>
      <c r="Z1255"/>
      <c r="AA1255"/>
    </row>
    <row r="1256" spans="1:27" s="17" customFormat="1" x14ac:dyDescent="0.35">
      <c r="A1256" s="21"/>
      <c r="B1256" s="21"/>
      <c r="D1256" s="21"/>
      <c r="E1256" s="21"/>
      <c r="H1256" s="93"/>
      <c r="T1256"/>
      <c r="U1256"/>
      <c r="V1256"/>
      <c r="W1256"/>
      <c r="X1256"/>
      <c r="Y1256"/>
      <c r="Z1256"/>
      <c r="AA1256"/>
    </row>
    <row r="1257" spans="1:27" s="17" customFormat="1" x14ac:dyDescent="0.35">
      <c r="A1257" s="21"/>
      <c r="B1257" s="21"/>
      <c r="D1257" s="21"/>
      <c r="E1257" s="21"/>
      <c r="H1257" s="93"/>
      <c r="T1257"/>
      <c r="U1257"/>
      <c r="V1257"/>
      <c r="W1257"/>
      <c r="X1257"/>
      <c r="Y1257"/>
      <c r="Z1257"/>
      <c r="AA1257"/>
    </row>
    <row r="1258" spans="1:27" s="17" customFormat="1" x14ac:dyDescent="0.35">
      <c r="A1258" s="21"/>
      <c r="B1258" s="21"/>
      <c r="D1258" s="21"/>
      <c r="E1258" s="21"/>
      <c r="H1258" s="93"/>
      <c r="T1258"/>
      <c r="U1258"/>
      <c r="V1258"/>
      <c r="W1258"/>
      <c r="X1258"/>
      <c r="Y1258"/>
      <c r="Z1258"/>
      <c r="AA1258"/>
    </row>
    <row r="1259" spans="1:27" s="17" customFormat="1" x14ac:dyDescent="0.35">
      <c r="A1259" s="21"/>
      <c r="B1259" s="21"/>
      <c r="D1259" s="21"/>
      <c r="E1259" s="21"/>
      <c r="H1259" s="93"/>
      <c r="T1259"/>
      <c r="U1259"/>
      <c r="V1259"/>
      <c r="W1259"/>
      <c r="X1259"/>
      <c r="Y1259"/>
      <c r="Z1259"/>
      <c r="AA1259"/>
    </row>
    <row r="1260" spans="1:27" s="17" customFormat="1" x14ac:dyDescent="0.35">
      <c r="A1260" s="21"/>
      <c r="B1260" s="21"/>
      <c r="D1260" s="21"/>
      <c r="E1260" s="21"/>
      <c r="H1260" s="93"/>
      <c r="T1260"/>
      <c r="U1260"/>
      <c r="V1260"/>
      <c r="W1260"/>
      <c r="X1260"/>
      <c r="Y1260"/>
      <c r="Z1260"/>
      <c r="AA1260"/>
    </row>
    <row r="1261" spans="1:27" s="17" customFormat="1" x14ac:dyDescent="0.35">
      <c r="A1261" s="21"/>
      <c r="B1261" s="21"/>
      <c r="D1261" s="21"/>
      <c r="E1261" s="21"/>
      <c r="H1261" s="93"/>
      <c r="T1261"/>
      <c r="U1261"/>
      <c r="V1261"/>
      <c r="W1261"/>
      <c r="X1261"/>
      <c r="Y1261"/>
      <c r="Z1261"/>
      <c r="AA1261"/>
    </row>
    <row r="1262" spans="1:27" s="17" customFormat="1" x14ac:dyDescent="0.35">
      <c r="A1262" s="21"/>
      <c r="B1262" s="21"/>
      <c r="D1262" s="21"/>
      <c r="E1262" s="21"/>
      <c r="H1262" s="93"/>
      <c r="T1262"/>
      <c r="U1262"/>
      <c r="V1262"/>
      <c r="W1262"/>
      <c r="X1262"/>
      <c r="Y1262"/>
      <c r="Z1262"/>
      <c r="AA1262"/>
    </row>
    <row r="1263" spans="1:27" s="17" customFormat="1" x14ac:dyDescent="0.35">
      <c r="A1263" s="21"/>
      <c r="B1263" s="21"/>
      <c r="D1263" s="21"/>
      <c r="E1263" s="21"/>
      <c r="H1263" s="93"/>
      <c r="T1263"/>
      <c r="U1263"/>
      <c r="V1263"/>
      <c r="W1263"/>
      <c r="X1263"/>
      <c r="Y1263"/>
      <c r="Z1263"/>
      <c r="AA1263"/>
    </row>
  </sheetData>
  <conditionalFormatting sqref="A10:E11">
    <cfRule type="expression" dxfId="57" priority="1">
      <formula>ROW()=CELL("FILA")</formula>
    </cfRule>
  </conditionalFormatting>
  <conditionalFormatting sqref="A1:H1 G6:H8 G10:H11 A12:H12 A6:E8">
    <cfRule type="expression" dxfId="56" priority="69">
      <formula>ROW()=CELL("FILA")</formula>
    </cfRule>
  </conditionalFormatting>
  <conditionalFormatting sqref="A5:H5">
    <cfRule type="expression" dxfId="55" priority="61">
      <formula>ROW()=CELL("FILA")</formula>
    </cfRule>
  </conditionalFormatting>
  <conditionalFormatting sqref="A9:H9">
    <cfRule type="expression" dxfId="54" priority="43">
      <formula>ROW()=CELL("FILA")</formula>
    </cfRule>
  </conditionalFormatting>
  <conditionalFormatting sqref="A55:H57">
    <cfRule type="expression" dxfId="53" priority="50">
      <formula>ROW()=CELL("FILA")</formula>
    </cfRule>
  </conditionalFormatting>
  <conditionalFormatting sqref="A553:H1048576">
    <cfRule type="expression" dxfId="52" priority="2">
      <formula>ROW()=CELL("FILA")</formula>
    </cfRule>
  </conditionalFormatting>
  <conditionalFormatting sqref="F1:F2 F12:F15 G16:G24 F25 G26:G27 F28 G29:G32 F33 G34:G42 G44:G51 F52:F53 G58:G61 F62 F80 G81:G83 F84 G85:G87 F88 G89:G91 F92 G93:G102 F103 G104:G112 F113 G114:G120 F121 G122:G149 F150 G151 F152 G153:G174 F175 G176:G179 F180 G181:G184 F185 G186:G197 F198 G199:G212 F213 G214:G217 F218 G219:G222 F223 G224 F225 G226:G227 F228 G229 F230 G231:G232 F233 G234:G237 F238 G239:G251 F252:F253 G254 F255 G256 F257 G258 F259 G260:G261 G263 F264 G265:G271 F272 G273:G285 F286 G287:G290 F291 G292:G293 F294 G295:G307 F308 G309:G311 F312 G313:G314 F315 G316:G334 F335 G336 F337 G338:G339 F340 F345 G346:G354 F355 G356:G365 F366 G367 F368 G369 F370:F372 G373:G415 F416 G417 F418 G419 F420 G421 F422 G423:G425 F426 G427:G430 F431 G432:G434 F435 G436:G445 F446 G447 F448 G449:G452 F453 G454 F455 G456 F457 G458:G475 F476 G477 F478 G479:G488 F489 G490:G493 F494 G495:G518 F519 G520:G529 F530 G531 F532 F542 G543:G545 F546 G547:G552 G6:G8 G10:G11">
    <cfRule type="containsText" dxfId="51" priority="67" operator="containsText" text="VENTA POR MANO">
      <formula>NOT(ISERROR(SEARCH("VENTA POR MANO",F1)))</formula>
    </cfRule>
  </conditionalFormatting>
  <conditionalFormatting sqref="F1:F2 G6:G8 G10:G11 F12:F15 G16:G24 F25 G26:G27 F28 G29:G32 F33 G34:G42 G44:G51 F52:F53 G58:G61 F62 F80 G81:G83 F84 G85:G87 F88 G89:G91 F92 G93:G102 F103 G104:G112 F113 G114:G120 F121 G122:G149 F150 G151 F152 G153:G174 F175 G176:G179 F180 G181:G184 F185 G186:G197 F198 G199:G212 F213 G214:G217 F218 G219:G222 F223 G224 F225 G226:G227 F228 G229 F230 G231:G232 F233 G234:G237 F238 G239:G251 F252:F253 G254 F255 G256 F257 G258 F259 G260:G261 G263 F264 G265:G271 F272 G273:G285 F286 G287:G290 F291 G292:G293 F294 G295:G307 F308 G309:G311 F312 G313:G314 F315 G316:G334 F335 G336 F337 G338:G339 F340 F345 G346:G354 F355 G356:G365 F366 G367 F368 G369 F370:F372 G373:G415 F416 G417 F418 G419 F420 G421 F422 G423:G425 F426 G427:G430 F431 G432:G434 F435 G436:G445 F446 G447 F448 G449:G452 F453 G454 F455 G456 F457 G458:G475 F476 G477 F478 G479:G488 F489 G490:G493 F494 G495:G518 F519 G520:G529 F530 G531 F532 F542 G543:G545 F546 G547:G552">
    <cfRule type="containsText" dxfId="50" priority="68" operator="containsText" text="SIN ASIGNAR">
      <formula>NOT(ISERROR(SEARCH("SIN ASIGNAR",F1)))</formula>
    </cfRule>
  </conditionalFormatting>
  <conditionalFormatting sqref="F2 I1:AA1 A2:E4 G2:H4 A13:D13 F13:H13 A14:H15 A16:E24 G16:H24 A25:H25 A26:E27 G26:H27 A28:H28 A29:E32 G29:H32 A33:H33 A34:E51 G34:H51 A52:H53 A54:E54 G54:H54 A58:E61 G58:H61 A62:H62 A63:E67 G63:H79 A68 C68:E68 A69:E79 A80:H80 A81:E83 G81:H83 A84:H84 A85:E87 G85:H87 A88:H88 A89:E91 G89:H91 A92:H92 A93:E102 G93:H102 A103:H103 A104:E112 G104:H112 A113:H113 A114:E120 G114:H120 A121:H121 A122:E149 G122:H149 A150:H150 A151:E151 G151:H151 A152:H152 A153:E174 G153:H174 A175:H175 A176:E179 G176:H179 A180:H180 A181:E184 G181:H184 A185:H185 A186:E197 G186:H197 A198:H198 A199:E212 G199:H212 A213:H213 A214:E217 G214:H217 A218:H218 A219:E222 G219:H222 A223:H223 A224:E224 G224:H224 A225:H225 A226:E227 G226:H227 A228:H228 A229:E229 G229:H229 A230:H230 A231:E232 G231:H232 A233:H233 A234:E237 G234:H237 A238:H238 A239:E251 G239:H251 A252:H253 A254:E254 G254:H254 A255:H255 A256:E256 G256:H256 A257:H257 A258:E258 G258:H258 A259:H259 D260:E261 A260:C262 G260:H263 A263:E263 A264:H264 A265:E271 G265:H271 A272:H272 A273:E285 G273:H285 A286:H286 A287:E290 G287:H290 A291:H291 A292:E293 G292:H293 A294:H294 A295:E307 G295:H307 A308:H308 A309:E311 G309:H311 A312:H312 A313:E314 G313:H314 A315:H315 A316:E334 G316:H334 A335:H335 A336:E336 G336:H336 A337:H337 A338:E339 G338:H339 A340:H340 A341:E344 G341:H344 A345:H345 A346:E354 G346:H354 A355:H355 A356:E365 G356:H365 A366:H366 A367:E367 G367:H367 A368:H368 A369:E369 G369:H369 A370:H372 A373:E415 G373:H415 A416:H416 A417:E417 G417:H417 A418:H418 A419:E419 G419:H419 A420:H420 A421:E421 G421:H421 A422:H422 A423:E425 G423:H425 A426:H426 A427:E430 G427:H430 A431:H431 A432:E434 G432:H434 A435:F435 H435:H445 A436:E445 G436:G445 A446:H446 A447:E447 G447:H447 A448:H448 A449:E452 G449:H452 A453:H453 A454:E454 G454:H454 A455:H455 A456:E456 G456:H456 A457:H457 A458:E475 G458:H475 A476:H476 A477:E477 G477:H477 A478:H478 A479:E488 G479:H488 A489:H489 A490:E493 G490:H493 A494:H494 A495:E518 G495:H518 A519:H519 A520:E529 G520:H529 A530:H530 A531:E531 G531:H531 A532:H532 A533:E537 G533:H541 A538 C538:E538 A539:E541 A542:H542 A543:E545 G543:H545 A546:H546 A547:E552 G547:H552">
    <cfRule type="expression" dxfId="49" priority="66">
      <formula>ROW()=CELL("FILA")</formula>
    </cfRule>
  </conditionalFormatting>
  <conditionalFormatting sqref="F2">
    <cfRule type="containsText" dxfId="48" priority="65" operator="containsText" text="SIN ASIGNAR">
      <formula>NOT(ISERROR(SEARCH("SIN ASIGNAR",F2)))</formula>
    </cfRule>
    <cfRule type="containsText" dxfId="47" priority="70" operator="containsText" text="GUILLERMO">
      <formula>NOT(ISERROR(SEARCH("GUILLERMO",F2)))</formula>
    </cfRule>
  </conditionalFormatting>
  <conditionalFormatting sqref="F5">
    <cfRule type="containsText" dxfId="46" priority="59" operator="containsText" text="VENTA POR MANO">
      <formula>NOT(ISERROR(SEARCH("VENTA POR MANO",F5)))</formula>
    </cfRule>
    <cfRule type="containsText" dxfId="45" priority="60" operator="containsText" text="SIN ASIGNAR">
      <formula>NOT(ISERROR(SEARCH("SIN ASIGNAR",F5)))</formula>
    </cfRule>
  </conditionalFormatting>
  <conditionalFormatting sqref="F9">
    <cfRule type="containsText" dxfId="44" priority="41" operator="containsText" text="VENTA POR MANO">
      <formula>NOT(ISERROR(SEARCH("VENTA POR MANO",F9)))</formula>
    </cfRule>
    <cfRule type="containsText" dxfId="43" priority="42" operator="containsText" text="SIN ASIGNAR">
      <formula>NOT(ISERROR(SEARCH("SIN ASIGNAR",F9)))</formula>
    </cfRule>
  </conditionalFormatting>
  <conditionalFormatting sqref="F55:F57">
    <cfRule type="containsText" dxfId="42" priority="51" operator="containsText" text="VENTA POR MANO">
      <formula>NOT(ISERROR(SEARCH("VENTA POR MANO",F55)))</formula>
    </cfRule>
    <cfRule type="containsText" dxfId="41" priority="52" operator="containsText" text="SIN ASIGNAR">
      <formula>NOT(ISERROR(SEARCH("SIN ASIGNAR",F55)))</formula>
    </cfRule>
  </conditionalFormatting>
  <conditionalFormatting sqref="F553:F1048576">
    <cfRule type="containsText" dxfId="40" priority="3" operator="containsText" text="VENTA POR MANO">
      <formula>NOT(ISERROR(SEARCH("VENTA POR MANO",F553)))</formula>
    </cfRule>
    <cfRule type="containsText" dxfId="39" priority="4" operator="containsText" text="SIN ASIGNAR">
      <formula>NOT(ISERROR(SEARCH("SIN ASIGNAR",F553)))</formula>
    </cfRule>
  </conditionalFormatting>
  <conditionalFormatting sqref="N1 U1">
    <cfRule type="containsText" dxfId="38" priority="62" operator="containsText" text="VENTA POR MANO">
      <formula>NOT(ISERROR(SEARCH("VENTA POR MANO",N1)))</formula>
    </cfRule>
    <cfRule type="containsText" dxfId="37" priority="63" operator="containsText" text="SIN ASIGNAR">
      <formula>NOT(ISERROR(SEARCH("SIN ASIGNAR",N1)))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C796"/>
  <sheetViews>
    <sheetView tabSelected="1" zoomScale="70" zoomScaleNormal="70" workbookViewId="0">
      <pane ySplit="1" topLeftCell="A644" activePane="bottomLeft" state="frozen"/>
      <selection activeCell="D1" sqref="D1"/>
      <selection pane="bottomLeft" activeCell="E656" sqref="E656"/>
    </sheetView>
  </sheetViews>
  <sheetFormatPr baseColWidth="10" defaultRowHeight="21" x14ac:dyDescent="0.35"/>
  <cols>
    <col min="1" max="1" width="41.28515625" style="18" customWidth="1"/>
    <col min="2" max="2" width="40.85546875" style="18" customWidth="1"/>
    <col min="3" max="3" width="11.5703125" style="19" bestFit="1" customWidth="1"/>
    <col min="4" max="4" width="26.5703125" style="18" customWidth="1"/>
    <col min="5" max="5" width="77.42578125" style="18" customWidth="1"/>
    <col min="6" max="6" width="70.28515625" style="19" customWidth="1"/>
    <col min="7" max="7" width="12" style="19" customWidth="1"/>
    <col min="8" max="8" width="15.140625" style="100" customWidth="1"/>
    <col min="9" max="9" width="13" style="17" customWidth="1"/>
    <col min="10" max="10" width="16.85546875" style="17" customWidth="1"/>
    <col min="11" max="11" width="12.7109375" style="17" customWidth="1"/>
    <col min="12" max="12" width="18.28515625" style="17" customWidth="1"/>
    <col min="13" max="13" width="14.42578125" style="17" customWidth="1"/>
    <col min="14" max="14" width="18" style="17" customWidth="1"/>
    <col min="15" max="15" width="11.42578125" style="17"/>
    <col min="16" max="16" width="14.85546875" style="17" customWidth="1"/>
    <col min="17" max="18" width="11.42578125" style="17"/>
    <col min="19" max="19" width="12.7109375" style="17" customWidth="1"/>
    <col min="20" max="20" width="16.140625" style="17" customWidth="1"/>
    <col min="21" max="21" width="11.42578125" style="17"/>
  </cols>
  <sheetData>
    <row r="1" spans="1:29" s="18" customFormat="1" ht="57" customHeight="1" x14ac:dyDescent="0.35">
      <c r="A1" s="65" t="s">
        <v>0</v>
      </c>
      <c r="B1" s="65" t="s">
        <v>1</v>
      </c>
      <c r="C1" s="66" t="s">
        <v>2</v>
      </c>
      <c r="D1" s="65" t="s">
        <v>3</v>
      </c>
      <c r="E1" s="65" t="s">
        <v>4</v>
      </c>
      <c r="F1" s="66" t="s">
        <v>86</v>
      </c>
      <c r="G1" s="66" t="s">
        <v>5</v>
      </c>
      <c r="H1" s="101" t="s">
        <v>6</v>
      </c>
      <c r="I1" s="69" t="s">
        <v>430</v>
      </c>
      <c r="J1" s="69" t="s">
        <v>431</v>
      </c>
      <c r="K1" s="69" t="s">
        <v>10</v>
      </c>
      <c r="L1" s="69" t="s">
        <v>432</v>
      </c>
      <c r="M1" s="69" t="s">
        <v>433</v>
      </c>
      <c r="N1" s="69" t="s">
        <v>434</v>
      </c>
      <c r="O1" s="69" t="s">
        <v>435</v>
      </c>
      <c r="P1" s="69" t="s">
        <v>929</v>
      </c>
      <c r="Q1" s="69" t="s">
        <v>927</v>
      </c>
      <c r="R1" s="73" t="s">
        <v>437</v>
      </c>
      <c r="S1" s="73" t="s">
        <v>9</v>
      </c>
      <c r="T1" s="73" t="s">
        <v>140</v>
      </c>
      <c r="U1" s="73" t="s">
        <v>8</v>
      </c>
      <c r="V1" s="68"/>
      <c r="W1" s="66"/>
      <c r="X1" s="66"/>
      <c r="Y1" s="67"/>
      <c r="Z1" s="65"/>
      <c r="AA1" s="65"/>
      <c r="AB1" s="66"/>
      <c r="AC1" s="65"/>
    </row>
    <row r="2" spans="1:29" x14ac:dyDescent="0.35">
      <c r="A2" s="21" t="s">
        <v>164</v>
      </c>
      <c r="B2" s="21" t="s">
        <v>165</v>
      </c>
      <c r="C2" s="16">
        <v>4517</v>
      </c>
      <c r="D2" s="21" t="s">
        <v>166</v>
      </c>
      <c r="E2" s="21" t="s">
        <v>167</v>
      </c>
      <c r="F2" s="17" t="s">
        <v>169</v>
      </c>
      <c r="G2" s="17">
        <v>1</v>
      </c>
      <c r="H2" s="93" t="s">
        <v>168</v>
      </c>
    </row>
    <row r="3" spans="1:29" x14ac:dyDescent="0.35">
      <c r="A3" s="21"/>
      <c r="B3" s="21"/>
      <c r="C3" s="17"/>
      <c r="D3" s="21"/>
      <c r="E3" s="21"/>
      <c r="F3" s="110" t="s">
        <v>285</v>
      </c>
      <c r="G3" s="17"/>
      <c r="H3" s="93"/>
    </row>
    <row r="4" spans="1:29" x14ac:dyDescent="0.35">
      <c r="A4" s="21"/>
      <c r="B4" s="21"/>
      <c r="C4" s="17"/>
      <c r="D4" s="21"/>
      <c r="E4" s="71"/>
      <c r="F4" s="17"/>
      <c r="G4" s="72"/>
      <c r="H4" s="93"/>
    </row>
    <row r="5" spans="1:29" s="76" customFormat="1" ht="21.75" thickBot="1" x14ac:dyDescent="0.4">
      <c r="A5" s="48"/>
      <c r="B5" s="48"/>
      <c r="C5" s="49"/>
      <c r="D5" s="48"/>
      <c r="E5" s="48"/>
      <c r="F5" s="49"/>
      <c r="G5" s="49"/>
      <c r="H5" s="94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</row>
    <row r="6" spans="1:29" x14ac:dyDescent="0.35">
      <c r="A6" s="46" t="s">
        <v>136</v>
      </c>
      <c r="B6" s="46" t="s">
        <v>255</v>
      </c>
      <c r="C6" s="51">
        <v>4737</v>
      </c>
      <c r="D6" s="46" t="s">
        <v>253</v>
      </c>
      <c r="E6" s="46" t="s">
        <v>254</v>
      </c>
      <c r="F6" s="46"/>
      <c r="G6" s="47">
        <v>2</v>
      </c>
      <c r="H6" s="95">
        <v>46062</v>
      </c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</row>
    <row r="7" spans="1:29" x14ac:dyDescent="0.35">
      <c r="A7" s="21"/>
      <c r="B7" s="21"/>
      <c r="C7" s="17"/>
      <c r="D7" s="21" t="s">
        <v>221</v>
      </c>
      <c r="E7" s="21" t="s">
        <v>222</v>
      </c>
      <c r="F7" s="110" t="s">
        <v>264</v>
      </c>
      <c r="G7" s="17">
        <v>2</v>
      </c>
      <c r="H7" s="93"/>
    </row>
    <row r="8" spans="1:29" x14ac:dyDescent="0.35">
      <c r="A8" s="21"/>
      <c r="B8" s="21"/>
      <c r="C8" s="17"/>
      <c r="D8" s="21" t="s">
        <v>77</v>
      </c>
      <c r="E8" s="21" t="s">
        <v>20</v>
      </c>
      <c r="F8" s="21"/>
      <c r="G8" s="17">
        <v>2</v>
      </c>
      <c r="H8" s="93"/>
    </row>
    <row r="9" spans="1:29" s="76" customFormat="1" ht="21.75" thickBot="1" x14ac:dyDescent="0.4">
      <c r="A9" s="48"/>
      <c r="B9" s="48"/>
      <c r="C9" s="49"/>
      <c r="D9" s="48"/>
      <c r="E9" s="48"/>
      <c r="F9" s="49"/>
      <c r="G9" s="49"/>
      <c r="H9" s="94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</row>
    <row r="10" spans="1:29" ht="21.75" thickBot="1" x14ac:dyDescent="0.4">
      <c r="A10" s="46" t="s">
        <v>258</v>
      </c>
      <c r="B10" s="46" t="s">
        <v>259</v>
      </c>
      <c r="C10" s="53">
        <v>4745</v>
      </c>
      <c r="D10" s="46" t="s">
        <v>76</v>
      </c>
      <c r="E10" s="48" t="s">
        <v>150</v>
      </c>
      <c r="F10" s="47" t="s">
        <v>241</v>
      </c>
      <c r="G10" s="47">
        <v>4</v>
      </c>
      <c r="H10" s="95">
        <v>46064</v>
      </c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</row>
    <row r="11" spans="1:29" x14ac:dyDescent="0.35">
      <c r="A11" s="21"/>
      <c r="B11" s="21"/>
      <c r="C11" s="17"/>
      <c r="D11" s="21" t="s">
        <v>77</v>
      </c>
      <c r="E11" s="21" t="s">
        <v>20</v>
      </c>
      <c r="F11" s="110" t="s">
        <v>413</v>
      </c>
      <c r="G11" s="17">
        <v>4</v>
      </c>
      <c r="H11" s="93"/>
    </row>
    <row r="12" spans="1:29" s="76" customFormat="1" ht="21.75" thickBot="1" x14ac:dyDescent="0.4">
      <c r="A12" s="48"/>
      <c r="B12" s="48"/>
      <c r="C12" s="49"/>
      <c r="D12" s="48"/>
      <c r="E12" s="48"/>
      <c r="F12" s="49"/>
      <c r="G12" s="49"/>
      <c r="H12" s="94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</row>
    <row r="13" spans="1:29" x14ac:dyDescent="0.35">
      <c r="A13" s="46" t="s">
        <v>173</v>
      </c>
      <c r="B13" s="46" t="s">
        <v>302</v>
      </c>
      <c r="C13" s="51">
        <v>4808</v>
      </c>
      <c r="D13" s="46" t="s">
        <v>77</v>
      </c>
      <c r="E13" s="21" t="s">
        <v>20</v>
      </c>
      <c r="F13" s="47"/>
      <c r="G13" s="47">
        <v>4</v>
      </c>
      <c r="H13" s="95">
        <v>46094</v>
      </c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</row>
    <row r="14" spans="1:29" x14ac:dyDescent="0.35">
      <c r="A14" s="21"/>
      <c r="B14" s="21"/>
      <c r="C14" s="17"/>
      <c r="D14" s="21"/>
      <c r="E14" s="21"/>
      <c r="F14" s="110" t="s">
        <v>595</v>
      </c>
      <c r="G14" s="17"/>
      <c r="H14" s="93"/>
    </row>
    <row r="15" spans="1:29" s="76" customFormat="1" ht="21.75" thickBot="1" x14ac:dyDescent="0.4">
      <c r="A15" s="48"/>
      <c r="B15" s="48"/>
      <c r="C15" s="49"/>
      <c r="D15" s="48"/>
      <c r="E15" s="48"/>
      <c r="F15" s="49"/>
      <c r="G15" s="49"/>
      <c r="H15" s="94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</row>
    <row r="16" spans="1:29" s="113" customFormat="1" x14ac:dyDescent="0.35">
      <c r="A16" s="46" t="s">
        <v>921</v>
      </c>
      <c r="B16" s="46" t="s">
        <v>220</v>
      </c>
      <c r="C16" s="47">
        <v>4891</v>
      </c>
      <c r="D16" s="46" t="s">
        <v>76</v>
      </c>
      <c r="E16" s="46" t="s">
        <v>150</v>
      </c>
      <c r="F16" s="47" t="s">
        <v>28</v>
      </c>
      <c r="G16" s="47">
        <v>1</v>
      </c>
      <c r="H16" s="112">
        <v>46127</v>
      </c>
      <c r="I16" s="47"/>
      <c r="J16" s="47">
        <v>0.5</v>
      </c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</row>
    <row r="17" spans="1:21" s="70" customFormat="1" x14ac:dyDescent="0.35">
      <c r="A17" s="21"/>
      <c r="B17" s="21"/>
      <c r="C17" s="17"/>
      <c r="D17" s="21" t="s">
        <v>80</v>
      </c>
      <c r="E17" s="21" t="s">
        <v>19</v>
      </c>
      <c r="F17" s="17"/>
      <c r="G17" s="17">
        <v>1</v>
      </c>
      <c r="H17" s="98"/>
      <c r="I17" s="17"/>
      <c r="J17" s="17">
        <v>1</v>
      </c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</row>
    <row r="18" spans="1:21" s="70" customFormat="1" x14ac:dyDescent="0.35">
      <c r="A18" s="21"/>
      <c r="B18" s="21"/>
      <c r="C18" s="17"/>
      <c r="D18" s="21" t="s">
        <v>77</v>
      </c>
      <c r="E18" s="21" t="s">
        <v>20</v>
      </c>
      <c r="F18" s="17"/>
      <c r="G18" s="17">
        <v>1</v>
      </c>
      <c r="H18" s="98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</row>
    <row r="19" spans="1:21" s="70" customFormat="1" x14ac:dyDescent="0.35">
      <c r="A19" s="21"/>
      <c r="B19" s="21"/>
      <c r="C19" s="17"/>
      <c r="D19" s="21" t="s">
        <v>83</v>
      </c>
      <c r="E19" s="21" t="s">
        <v>12</v>
      </c>
      <c r="F19" s="17"/>
      <c r="G19" s="17">
        <v>1</v>
      </c>
      <c r="H19" s="98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</row>
    <row r="20" spans="1:21" s="70" customFormat="1" x14ac:dyDescent="0.35">
      <c r="A20" s="21"/>
      <c r="B20" s="21"/>
      <c r="C20" s="17"/>
      <c r="D20" s="21" t="s">
        <v>84</v>
      </c>
      <c r="E20" s="21" t="s">
        <v>13</v>
      </c>
      <c r="F20" s="17"/>
      <c r="G20" s="17">
        <v>1</v>
      </c>
      <c r="H20" s="98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</row>
    <row r="21" spans="1:21" s="70" customFormat="1" x14ac:dyDescent="0.35">
      <c r="A21" s="21"/>
      <c r="B21" s="21"/>
      <c r="C21" s="17"/>
      <c r="D21" s="21" t="s">
        <v>78</v>
      </c>
      <c r="E21" s="21" t="s">
        <v>16</v>
      </c>
      <c r="F21" s="17"/>
      <c r="G21" s="17">
        <v>1</v>
      </c>
      <c r="H21" s="98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</row>
    <row r="22" spans="1:21" s="70" customFormat="1" x14ac:dyDescent="0.35">
      <c r="A22" s="21"/>
      <c r="B22" s="21"/>
      <c r="C22" s="17"/>
      <c r="D22" s="21" t="s">
        <v>92</v>
      </c>
      <c r="E22" s="21" t="s">
        <v>51</v>
      </c>
      <c r="F22" s="17"/>
      <c r="G22" s="17">
        <v>1</v>
      </c>
      <c r="H22" s="98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</row>
    <row r="23" spans="1:21" s="70" customFormat="1" x14ac:dyDescent="0.35">
      <c r="A23" s="21"/>
      <c r="B23" s="21"/>
      <c r="C23" s="17"/>
      <c r="D23" s="21" t="s">
        <v>374</v>
      </c>
      <c r="E23" s="21" t="s">
        <v>375</v>
      </c>
      <c r="F23" s="17"/>
      <c r="G23" s="17">
        <v>1</v>
      </c>
      <c r="H23" s="98"/>
      <c r="I23" s="17"/>
      <c r="J23" s="17">
        <v>1</v>
      </c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</row>
    <row r="24" spans="1:21" s="70" customFormat="1" x14ac:dyDescent="0.35">
      <c r="A24" s="21"/>
      <c r="B24" s="21"/>
      <c r="C24" s="17"/>
      <c r="D24" s="21" t="s">
        <v>88</v>
      </c>
      <c r="E24" s="21" t="s">
        <v>23</v>
      </c>
      <c r="F24" s="17"/>
      <c r="G24" s="17">
        <v>1</v>
      </c>
      <c r="H24" s="98"/>
      <c r="I24" s="17"/>
      <c r="J24" s="17">
        <v>1</v>
      </c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</row>
    <row r="25" spans="1:21" s="70" customFormat="1" x14ac:dyDescent="0.35">
      <c r="A25" s="21"/>
      <c r="B25" s="21"/>
      <c r="C25" s="17"/>
      <c r="D25" s="21" t="s">
        <v>87</v>
      </c>
      <c r="E25" s="21" t="s">
        <v>21</v>
      </c>
      <c r="F25" s="17"/>
      <c r="G25" s="17">
        <v>1</v>
      </c>
      <c r="H25" s="98"/>
      <c r="I25" s="17"/>
      <c r="J25" s="17">
        <v>1</v>
      </c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</row>
    <row r="26" spans="1:21" s="70" customFormat="1" x14ac:dyDescent="0.35">
      <c r="A26" s="21"/>
      <c r="B26" s="21"/>
      <c r="C26" s="17"/>
      <c r="D26" s="21" t="s">
        <v>131</v>
      </c>
      <c r="E26" s="21" t="s">
        <v>72</v>
      </c>
      <c r="F26" s="17"/>
      <c r="G26" s="17">
        <v>1</v>
      </c>
      <c r="H26" s="98"/>
      <c r="I26" s="17"/>
      <c r="J26" s="17">
        <v>1</v>
      </c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</row>
    <row r="27" spans="1:21" s="70" customFormat="1" x14ac:dyDescent="0.35">
      <c r="A27" s="21"/>
      <c r="B27" s="21"/>
      <c r="C27" s="17"/>
      <c r="D27" s="21" t="s">
        <v>404</v>
      </c>
      <c r="E27" s="21" t="s">
        <v>405</v>
      </c>
      <c r="F27" s="17"/>
      <c r="G27" s="17">
        <v>1</v>
      </c>
      <c r="H27" s="98"/>
      <c r="I27" s="17"/>
      <c r="J27" s="17">
        <v>1</v>
      </c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</row>
    <row r="28" spans="1:21" s="70" customFormat="1" x14ac:dyDescent="0.35">
      <c r="A28" s="21"/>
      <c r="B28" s="21"/>
      <c r="C28" s="17"/>
      <c r="D28" s="21" t="s">
        <v>81</v>
      </c>
      <c r="E28" s="21" t="s">
        <v>15</v>
      </c>
      <c r="F28" s="17"/>
      <c r="G28" s="17">
        <v>1</v>
      </c>
      <c r="H28" s="98"/>
      <c r="I28" s="17"/>
      <c r="J28" s="17">
        <v>1</v>
      </c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</row>
    <row r="29" spans="1:21" s="70" customFormat="1" x14ac:dyDescent="0.35">
      <c r="A29" s="21"/>
      <c r="B29" s="21"/>
      <c r="C29" s="17"/>
      <c r="D29" s="21" t="s">
        <v>96</v>
      </c>
      <c r="E29" s="21" t="s">
        <v>139</v>
      </c>
      <c r="F29" s="17"/>
      <c r="G29" s="17">
        <v>24</v>
      </c>
      <c r="H29" s="98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</row>
    <row r="30" spans="1:21" s="70" customFormat="1" x14ac:dyDescent="0.35">
      <c r="A30" s="21"/>
      <c r="B30" s="21"/>
      <c r="C30" s="17"/>
      <c r="D30" s="21" t="s">
        <v>112</v>
      </c>
      <c r="E30" s="21" t="s">
        <v>118</v>
      </c>
      <c r="F30" s="17"/>
      <c r="G30" s="17">
        <v>2</v>
      </c>
      <c r="H30" s="98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</row>
    <row r="31" spans="1:21" s="70" customFormat="1" x14ac:dyDescent="0.35">
      <c r="A31" s="21"/>
      <c r="B31" s="21"/>
      <c r="C31" s="17"/>
      <c r="D31" s="21" t="s">
        <v>239</v>
      </c>
      <c r="E31" s="21" t="s">
        <v>240</v>
      </c>
      <c r="F31" s="17"/>
      <c r="G31" s="17">
        <v>2</v>
      </c>
      <c r="H31" s="98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</row>
    <row r="32" spans="1:21" s="70" customFormat="1" x14ac:dyDescent="0.35">
      <c r="A32" s="21"/>
      <c r="B32" s="21"/>
      <c r="C32" s="17"/>
      <c r="D32" s="21" t="s">
        <v>922</v>
      </c>
      <c r="E32" s="21" t="s">
        <v>923</v>
      </c>
      <c r="F32" s="17"/>
      <c r="G32" s="17">
        <v>1</v>
      </c>
      <c r="H32" s="98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</row>
    <row r="33" spans="1:21" s="70" customFormat="1" x14ac:dyDescent="0.35">
      <c r="A33" s="21"/>
      <c r="B33" s="21"/>
      <c r="C33" s="17"/>
      <c r="D33" s="21" t="s">
        <v>324</v>
      </c>
      <c r="E33" s="21" t="s">
        <v>325</v>
      </c>
      <c r="F33" s="17"/>
      <c r="G33" s="17">
        <v>1</v>
      </c>
      <c r="H33" s="98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</row>
    <row r="34" spans="1:21" s="70" customFormat="1" x14ac:dyDescent="0.35">
      <c r="A34" s="21"/>
      <c r="B34" s="21"/>
      <c r="C34" s="17"/>
      <c r="D34" s="21" t="s">
        <v>256</v>
      </c>
      <c r="E34" s="21" t="s">
        <v>257</v>
      </c>
      <c r="F34" s="17"/>
      <c r="G34" s="17">
        <v>1</v>
      </c>
      <c r="H34" s="98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</row>
    <row r="35" spans="1:21" s="70" customFormat="1" x14ac:dyDescent="0.35">
      <c r="A35" s="21"/>
      <c r="B35" s="21"/>
      <c r="C35" s="17"/>
      <c r="D35" s="21" t="s">
        <v>116</v>
      </c>
      <c r="E35" s="21" t="s">
        <v>122</v>
      </c>
      <c r="F35" s="17"/>
      <c r="G35" s="17">
        <v>1</v>
      </c>
      <c r="H35" s="98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</row>
    <row r="36" spans="1:21" s="70" customFormat="1" x14ac:dyDescent="0.35">
      <c r="A36" s="21"/>
      <c r="B36" s="21"/>
      <c r="C36" s="17"/>
      <c r="D36" s="21" t="s">
        <v>115</v>
      </c>
      <c r="E36" s="21" t="s">
        <v>121</v>
      </c>
      <c r="F36" s="17"/>
      <c r="G36" s="17">
        <v>1</v>
      </c>
      <c r="H36" s="98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</row>
    <row r="37" spans="1:21" s="70" customFormat="1" x14ac:dyDescent="0.35">
      <c r="A37" s="21"/>
      <c r="B37" s="21"/>
      <c r="C37" s="17"/>
      <c r="D37" s="21" t="s">
        <v>111</v>
      </c>
      <c r="E37" s="21" t="s">
        <v>117</v>
      </c>
      <c r="F37" s="17"/>
      <c r="G37" s="17">
        <v>1</v>
      </c>
      <c r="H37" s="98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</row>
    <row r="38" spans="1:21" s="70" customFormat="1" x14ac:dyDescent="0.35">
      <c r="A38" s="21"/>
      <c r="B38" s="21"/>
      <c r="C38" s="17"/>
      <c r="D38" s="21" t="s">
        <v>322</v>
      </c>
      <c r="E38" s="21" t="s">
        <v>323</v>
      </c>
      <c r="F38" s="17"/>
      <c r="G38" s="17">
        <v>2</v>
      </c>
      <c r="H38" s="98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</row>
    <row r="39" spans="1:21" s="70" customFormat="1" x14ac:dyDescent="0.35">
      <c r="A39" s="21"/>
      <c r="B39" s="21"/>
      <c r="C39" s="17"/>
      <c r="D39" s="21" t="s">
        <v>307</v>
      </c>
      <c r="E39" s="21" t="s">
        <v>308</v>
      </c>
      <c r="F39" s="17"/>
      <c r="G39" s="17">
        <v>2</v>
      </c>
      <c r="H39" s="98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</row>
    <row r="40" spans="1:21" s="75" customFormat="1" ht="21.75" thickBot="1" x14ac:dyDescent="0.4">
      <c r="A40" s="48"/>
      <c r="B40" s="48"/>
      <c r="C40" s="49"/>
      <c r="D40" s="48"/>
      <c r="E40" s="48"/>
      <c r="F40" s="49"/>
      <c r="G40" s="49"/>
      <c r="H40" s="5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</row>
    <row r="41" spans="1:21" x14ac:dyDescent="0.35">
      <c r="A41" s="46" t="s">
        <v>74</v>
      </c>
      <c r="B41" s="46" t="s">
        <v>226</v>
      </c>
      <c r="C41" s="54">
        <v>4963</v>
      </c>
      <c r="D41" s="46" t="s">
        <v>76</v>
      </c>
      <c r="E41" s="46" t="s">
        <v>150</v>
      </c>
      <c r="F41" s="19" t="s">
        <v>369</v>
      </c>
      <c r="G41" s="47">
        <v>2</v>
      </c>
      <c r="H41" s="95">
        <v>46156</v>
      </c>
      <c r="I41" s="47">
        <v>0.5</v>
      </c>
      <c r="J41" s="47">
        <v>0.5</v>
      </c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</row>
    <row r="42" spans="1:21" x14ac:dyDescent="0.35">
      <c r="A42" s="21"/>
      <c r="B42" s="21"/>
      <c r="C42" s="17"/>
      <c r="D42" s="21" t="s">
        <v>80</v>
      </c>
      <c r="E42" s="21" t="s">
        <v>19</v>
      </c>
      <c r="F42" s="17"/>
      <c r="G42" s="17">
        <v>2</v>
      </c>
      <c r="H42" s="93"/>
      <c r="I42" s="17">
        <v>1</v>
      </c>
      <c r="J42" s="17">
        <v>1</v>
      </c>
    </row>
    <row r="43" spans="1:21" x14ac:dyDescent="0.35">
      <c r="A43" s="21"/>
      <c r="B43" s="21"/>
      <c r="C43" s="17"/>
      <c r="D43" s="21" t="s">
        <v>77</v>
      </c>
      <c r="E43" s="89" t="s">
        <v>20</v>
      </c>
      <c r="F43" s="17"/>
      <c r="G43" s="17">
        <v>2</v>
      </c>
      <c r="H43" s="93"/>
    </row>
    <row r="44" spans="1:21" x14ac:dyDescent="0.35">
      <c r="A44" s="21"/>
      <c r="B44" s="21"/>
      <c r="C44" s="17"/>
      <c r="D44" s="21" t="s">
        <v>227</v>
      </c>
      <c r="E44" s="21" t="s">
        <v>228</v>
      </c>
      <c r="F44" s="17"/>
      <c r="G44" s="17">
        <v>2</v>
      </c>
      <c r="H44" s="93"/>
      <c r="I44" s="17">
        <v>1</v>
      </c>
      <c r="J44" s="17">
        <v>1</v>
      </c>
    </row>
    <row r="45" spans="1:21" x14ac:dyDescent="0.35">
      <c r="A45" s="21"/>
      <c r="B45" s="21"/>
      <c r="C45" s="17"/>
      <c r="D45" s="21" t="s">
        <v>123</v>
      </c>
      <c r="E45" s="21" t="s">
        <v>25</v>
      </c>
      <c r="F45" s="17"/>
      <c r="G45" s="17">
        <v>2</v>
      </c>
      <c r="H45" s="93"/>
      <c r="I45" s="17">
        <v>2</v>
      </c>
      <c r="J45" s="17">
        <v>1</v>
      </c>
    </row>
    <row r="46" spans="1:21" x14ac:dyDescent="0.35">
      <c r="A46" s="21"/>
      <c r="B46" s="21"/>
      <c r="C46" s="17"/>
      <c r="D46" s="21" t="s">
        <v>87</v>
      </c>
      <c r="E46" s="21" t="s">
        <v>21</v>
      </c>
      <c r="F46" s="17"/>
      <c r="G46" s="17">
        <v>2</v>
      </c>
      <c r="H46" s="93"/>
      <c r="I46" s="17">
        <v>2</v>
      </c>
      <c r="J46" s="17">
        <v>1</v>
      </c>
    </row>
    <row r="47" spans="1:21" x14ac:dyDescent="0.35">
      <c r="A47" s="21"/>
      <c r="B47" s="21"/>
      <c r="C47" s="17"/>
      <c r="D47" s="21" t="s">
        <v>75</v>
      </c>
      <c r="E47" s="21" t="s">
        <v>55</v>
      </c>
      <c r="F47" s="17"/>
      <c r="G47" s="17">
        <v>2</v>
      </c>
      <c r="H47" s="93"/>
      <c r="I47" s="17">
        <v>2</v>
      </c>
      <c r="J47" s="17">
        <v>1</v>
      </c>
    </row>
    <row r="48" spans="1:21" x14ac:dyDescent="0.35">
      <c r="A48" s="21"/>
      <c r="B48" s="21"/>
      <c r="C48" s="17"/>
      <c r="D48" s="21" t="s">
        <v>342</v>
      </c>
      <c r="E48" s="21" t="s">
        <v>343</v>
      </c>
      <c r="F48" s="17"/>
      <c r="G48" s="17">
        <v>2</v>
      </c>
      <c r="H48" s="93"/>
      <c r="I48" s="17">
        <v>2</v>
      </c>
      <c r="J48" s="17">
        <v>1</v>
      </c>
    </row>
    <row r="49" spans="1:29" x14ac:dyDescent="0.35">
      <c r="A49" s="21"/>
      <c r="B49" s="21"/>
      <c r="C49" s="17"/>
      <c r="D49" s="21" t="s">
        <v>94</v>
      </c>
      <c r="E49" s="21" t="s">
        <v>18</v>
      </c>
      <c r="F49" s="17"/>
      <c r="G49" s="17">
        <v>48</v>
      </c>
      <c r="H49" s="93"/>
    </row>
    <row r="50" spans="1:29" s="76" customFormat="1" ht="21.75" thickBot="1" x14ac:dyDescent="0.4">
      <c r="A50" s="48"/>
      <c r="B50" s="48"/>
      <c r="C50" s="49"/>
      <c r="D50" s="48"/>
      <c r="E50" s="48"/>
      <c r="G50" s="49"/>
      <c r="H50" s="94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</row>
    <row r="51" spans="1:29" x14ac:dyDescent="0.35">
      <c r="A51" s="21" t="s">
        <v>11</v>
      </c>
      <c r="B51" s="21" t="s">
        <v>600</v>
      </c>
      <c r="C51" s="20">
        <v>4972</v>
      </c>
      <c r="D51" s="21" t="s">
        <v>603</v>
      </c>
      <c r="E51" s="21" t="s">
        <v>604</v>
      </c>
      <c r="F51" s="17"/>
      <c r="G51" s="17">
        <v>2</v>
      </c>
      <c r="H51" s="93">
        <v>46161</v>
      </c>
    </row>
    <row r="52" spans="1:29" x14ac:dyDescent="0.35">
      <c r="A52" s="21"/>
      <c r="B52" s="21"/>
      <c r="C52" s="17"/>
      <c r="D52" s="21" t="s">
        <v>605</v>
      </c>
      <c r="E52" s="21" t="s">
        <v>606</v>
      </c>
      <c r="F52" s="47" t="s">
        <v>615</v>
      </c>
      <c r="G52" s="17">
        <v>2</v>
      </c>
      <c r="H52" s="93"/>
    </row>
    <row r="53" spans="1:29" x14ac:dyDescent="0.35">
      <c r="A53" s="21"/>
      <c r="B53" s="21"/>
      <c r="C53" s="17"/>
      <c r="D53" s="21" t="s">
        <v>77</v>
      </c>
      <c r="E53" s="21" t="s">
        <v>20</v>
      </c>
      <c r="F53" s="110" t="s">
        <v>413</v>
      </c>
      <c r="G53" s="17">
        <v>2</v>
      </c>
      <c r="H53" s="93"/>
    </row>
    <row r="54" spans="1:29" x14ac:dyDescent="0.35">
      <c r="A54" s="21"/>
      <c r="B54" s="21"/>
      <c r="C54" s="17"/>
      <c r="D54" s="21"/>
      <c r="E54" s="21"/>
      <c r="F54" s="17"/>
      <c r="G54" s="17"/>
      <c r="H54" s="93"/>
    </row>
    <row r="55" spans="1:29" s="76" customFormat="1" ht="21.75" thickBot="1" x14ac:dyDescent="0.4">
      <c r="A55" s="48"/>
      <c r="B55" s="48"/>
      <c r="C55" s="49"/>
      <c r="D55" s="48"/>
      <c r="E55" s="48"/>
      <c r="F55" s="49"/>
      <c r="G55" s="49"/>
      <c r="H55" s="94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</row>
    <row r="56" spans="1:29" s="47" customFormat="1" x14ac:dyDescent="0.35">
      <c r="A56" s="46" t="s">
        <v>11</v>
      </c>
      <c r="B56" s="46" t="s">
        <v>163</v>
      </c>
      <c r="C56" s="53">
        <v>4977</v>
      </c>
      <c r="D56" s="46" t="s">
        <v>603</v>
      </c>
      <c r="E56" s="46" t="s">
        <v>604</v>
      </c>
      <c r="F56" s="47" t="s">
        <v>615</v>
      </c>
      <c r="G56" s="47">
        <v>3</v>
      </c>
      <c r="H56" s="95">
        <v>46167</v>
      </c>
      <c r="V56"/>
      <c r="W56"/>
      <c r="X56"/>
      <c r="Y56"/>
      <c r="Z56"/>
      <c r="AA56"/>
      <c r="AB56"/>
      <c r="AC56"/>
    </row>
    <row r="57" spans="1:29" s="17" customFormat="1" x14ac:dyDescent="0.35">
      <c r="A57" s="21"/>
      <c r="B57" s="21"/>
      <c r="D57" s="21" t="s">
        <v>605</v>
      </c>
      <c r="E57" s="21" t="s">
        <v>606</v>
      </c>
      <c r="F57" s="110" t="s">
        <v>413</v>
      </c>
      <c r="G57" s="17">
        <v>3</v>
      </c>
      <c r="H57" s="93"/>
      <c r="V57"/>
      <c r="W57"/>
      <c r="X57"/>
      <c r="Y57"/>
      <c r="Z57"/>
      <c r="AA57"/>
      <c r="AB57"/>
      <c r="AC57"/>
    </row>
    <row r="58" spans="1:29" s="17" customFormat="1" x14ac:dyDescent="0.35">
      <c r="A58" s="21"/>
      <c r="B58" s="21"/>
      <c r="D58" s="21" t="s">
        <v>77</v>
      </c>
      <c r="E58" s="21" t="s">
        <v>20</v>
      </c>
      <c r="G58" s="17">
        <v>3</v>
      </c>
      <c r="H58" s="93"/>
      <c r="V58"/>
      <c r="W58"/>
      <c r="X58"/>
      <c r="Y58"/>
      <c r="Z58"/>
      <c r="AA58"/>
      <c r="AB58"/>
      <c r="AC58"/>
    </row>
    <row r="59" spans="1:29" s="49" customFormat="1" ht="21.75" thickBot="1" x14ac:dyDescent="0.4">
      <c r="A59" s="48"/>
      <c r="B59" s="48"/>
      <c r="D59" s="48"/>
      <c r="E59" s="48"/>
      <c r="H59" s="94"/>
      <c r="V59" s="76"/>
      <c r="W59" s="76"/>
      <c r="X59" s="76"/>
      <c r="Y59" s="76"/>
      <c r="Z59" s="76"/>
      <c r="AA59" s="76"/>
      <c r="AB59" s="76"/>
      <c r="AC59" s="76"/>
    </row>
    <row r="60" spans="1:29" s="47" customFormat="1" x14ac:dyDescent="0.35">
      <c r="A60" s="46" t="s">
        <v>11</v>
      </c>
      <c r="B60" s="46" t="s">
        <v>163</v>
      </c>
      <c r="C60" s="53">
        <v>4978</v>
      </c>
      <c r="D60" s="46" t="s">
        <v>603</v>
      </c>
      <c r="E60" s="46" t="s">
        <v>604</v>
      </c>
      <c r="F60" s="47" t="s">
        <v>615</v>
      </c>
      <c r="G60" s="47">
        <v>1</v>
      </c>
      <c r="H60" s="95">
        <v>46167</v>
      </c>
      <c r="V60"/>
      <c r="W60"/>
      <c r="X60"/>
      <c r="Y60"/>
      <c r="Z60"/>
      <c r="AA60"/>
      <c r="AB60"/>
      <c r="AC60"/>
    </row>
    <row r="61" spans="1:29" s="17" customFormat="1" x14ac:dyDescent="0.35">
      <c r="A61" s="21"/>
      <c r="B61" s="21"/>
      <c r="D61" s="21" t="s">
        <v>605</v>
      </c>
      <c r="E61" s="21" t="s">
        <v>606</v>
      </c>
      <c r="F61" s="110" t="s">
        <v>413</v>
      </c>
      <c r="G61" s="17">
        <v>1</v>
      </c>
      <c r="H61" s="93"/>
      <c r="V61"/>
      <c r="W61"/>
      <c r="X61"/>
      <c r="Y61"/>
      <c r="Z61"/>
      <c r="AA61"/>
      <c r="AB61"/>
      <c r="AC61"/>
    </row>
    <row r="62" spans="1:29" s="17" customFormat="1" x14ac:dyDescent="0.35">
      <c r="A62" s="21"/>
      <c r="B62" s="21"/>
      <c r="D62" s="21" t="s">
        <v>77</v>
      </c>
      <c r="E62" s="21" t="s">
        <v>20</v>
      </c>
      <c r="G62" s="17">
        <v>1</v>
      </c>
      <c r="H62" s="93"/>
      <c r="V62"/>
      <c r="W62"/>
      <c r="X62"/>
      <c r="Y62"/>
      <c r="Z62"/>
      <c r="AA62"/>
      <c r="AB62"/>
      <c r="AC62"/>
    </row>
    <row r="63" spans="1:29" s="49" customFormat="1" ht="21.75" thickBot="1" x14ac:dyDescent="0.4">
      <c r="A63" s="48"/>
      <c r="B63" s="48"/>
      <c r="D63" s="48"/>
      <c r="E63" s="48"/>
      <c r="H63" s="94"/>
      <c r="V63" s="76"/>
      <c r="W63" s="76"/>
      <c r="X63" s="76"/>
      <c r="Y63" s="76"/>
      <c r="Z63" s="76"/>
      <c r="AA63" s="76"/>
      <c r="AB63" s="76"/>
      <c r="AC63" s="76"/>
    </row>
    <row r="64" spans="1:29" s="47" customFormat="1" x14ac:dyDescent="0.35">
      <c r="A64" s="46" t="s">
        <v>640</v>
      </c>
      <c r="B64" s="46" t="s">
        <v>220</v>
      </c>
      <c r="C64" s="54">
        <v>4988</v>
      </c>
      <c r="D64" s="46" t="s">
        <v>76</v>
      </c>
      <c r="E64" s="46" t="s">
        <v>150</v>
      </c>
      <c r="F64" s="47" t="s">
        <v>303</v>
      </c>
      <c r="G64" s="47">
        <v>2</v>
      </c>
      <c r="H64" s="95">
        <v>46171</v>
      </c>
      <c r="I64" s="47">
        <v>0.33</v>
      </c>
      <c r="R64" s="47">
        <v>0.33</v>
      </c>
      <c r="S64" s="47">
        <v>0.33</v>
      </c>
      <c r="V64"/>
      <c r="W64"/>
      <c r="X64"/>
      <c r="Y64"/>
      <c r="Z64"/>
      <c r="AA64"/>
      <c r="AB64"/>
      <c r="AC64"/>
    </row>
    <row r="65" spans="1:29" s="17" customFormat="1" x14ac:dyDescent="0.35">
      <c r="A65" s="21"/>
      <c r="B65" s="21"/>
      <c r="D65" s="21" t="s">
        <v>80</v>
      </c>
      <c r="E65" s="21" t="s">
        <v>19</v>
      </c>
      <c r="G65" s="17">
        <v>2</v>
      </c>
      <c r="H65" s="93"/>
      <c r="I65" s="17">
        <v>0.66</v>
      </c>
      <c r="R65" s="17">
        <v>0.66</v>
      </c>
      <c r="S65" s="17">
        <v>0.66</v>
      </c>
      <c r="V65"/>
      <c r="W65"/>
      <c r="X65"/>
      <c r="Y65"/>
      <c r="Z65"/>
      <c r="AA65"/>
      <c r="AB65"/>
      <c r="AC65"/>
    </row>
    <row r="66" spans="1:29" s="17" customFormat="1" x14ac:dyDescent="0.35">
      <c r="A66" s="21"/>
      <c r="B66" s="21"/>
      <c r="D66" s="21" t="s">
        <v>77</v>
      </c>
      <c r="E66" s="21" t="s">
        <v>20</v>
      </c>
      <c r="G66" s="17">
        <v>2</v>
      </c>
      <c r="H66" s="93"/>
      <c r="V66"/>
      <c r="W66"/>
      <c r="X66"/>
      <c r="Y66"/>
      <c r="Z66"/>
      <c r="AA66"/>
      <c r="AB66"/>
      <c r="AC66"/>
    </row>
    <row r="67" spans="1:29" s="17" customFormat="1" x14ac:dyDescent="0.35">
      <c r="A67" s="21"/>
      <c r="B67" s="21"/>
      <c r="D67" s="21" t="s">
        <v>92</v>
      </c>
      <c r="E67" s="21" t="s">
        <v>51</v>
      </c>
      <c r="G67" s="17">
        <v>2</v>
      </c>
      <c r="H67" s="93"/>
      <c r="V67"/>
      <c r="W67"/>
      <c r="X67"/>
      <c r="Y67"/>
      <c r="Z67"/>
      <c r="AA67"/>
      <c r="AB67"/>
      <c r="AC67"/>
    </row>
    <row r="68" spans="1:29" s="17" customFormat="1" x14ac:dyDescent="0.35">
      <c r="A68" s="21"/>
      <c r="B68" s="21"/>
      <c r="D68" s="21" t="s">
        <v>78</v>
      </c>
      <c r="E68" s="21" t="s">
        <v>16</v>
      </c>
      <c r="G68" s="17">
        <v>2</v>
      </c>
      <c r="H68" s="93"/>
      <c r="V68"/>
      <c r="W68"/>
      <c r="X68"/>
      <c r="Y68"/>
      <c r="Z68"/>
      <c r="AA68"/>
      <c r="AB68"/>
      <c r="AC68"/>
    </row>
    <row r="69" spans="1:29" s="17" customFormat="1" x14ac:dyDescent="0.35">
      <c r="A69" s="21"/>
      <c r="B69" s="21"/>
      <c r="D69" s="21" t="s">
        <v>93</v>
      </c>
      <c r="E69" s="21" t="s">
        <v>14</v>
      </c>
      <c r="G69" s="17">
        <v>2</v>
      </c>
      <c r="H69" s="93"/>
      <c r="I69" s="17">
        <v>0.66</v>
      </c>
      <c r="R69" s="17">
        <v>0.66</v>
      </c>
      <c r="S69" s="17">
        <v>0.66</v>
      </c>
      <c r="V69"/>
      <c r="W69"/>
      <c r="X69"/>
      <c r="Y69"/>
      <c r="Z69"/>
      <c r="AA69"/>
      <c r="AB69"/>
      <c r="AC69"/>
    </row>
    <row r="70" spans="1:29" s="17" customFormat="1" x14ac:dyDescent="0.35">
      <c r="A70" s="21"/>
      <c r="B70" s="21"/>
      <c r="D70" s="21" t="s">
        <v>88</v>
      </c>
      <c r="E70" s="21" t="s">
        <v>23</v>
      </c>
      <c r="G70" s="17">
        <v>2</v>
      </c>
      <c r="H70" s="93"/>
      <c r="I70" s="17">
        <v>4</v>
      </c>
      <c r="R70" s="17">
        <v>0.66</v>
      </c>
      <c r="S70" s="17">
        <v>0.66</v>
      </c>
      <c r="V70"/>
      <c r="W70"/>
      <c r="X70"/>
      <c r="Y70"/>
      <c r="Z70"/>
      <c r="AA70"/>
      <c r="AB70"/>
      <c r="AC70"/>
    </row>
    <row r="71" spans="1:29" s="17" customFormat="1" x14ac:dyDescent="0.35">
      <c r="A71" s="21"/>
      <c r="B71" s="21"/>
      <c r="D71" s="21" t="s">
        <v>85</v>
      </c>
      <c r="E71" s="21" t="s">
        <v>22</v>
      </c>
      <c r="G71" s="17">
        <v>2</v>
      </c>
      <c r="H71" s="93"/>
      <c r="I71" s="17">
        <v>4</v>
      </c>
      <c r="R71" s="17">
        <v>0.66</v>
      </c>
      <c r="S71" s="17">
        <v>0.66</v>
      </c>
      <c r="V71"/>
      <c r="W71"/>
      <c r="X71"/>
      <c r="Y71"/>
      <c r="Z71"/>
      <c r="AA71"/>
      <c r="AB71"/>
      <c r="AC71"/>
    </row>
    <row r="72" spans="1:29" s="17" customFormat="1" x14ac:dyDescent="0.35">
      <c r="A72" s="21"/>
      <c r="B72" s="21"/>
      <c r="D72" s="21" t="s">
        <v>79</v>
      </c>
      <c r="E72" s="21" t="s">
        <v>73</v>
      </c>
      <c r="G72" s="17">
        <v>4</v>
      </c>
      <c r="H72" s="93"/>
      <c r="I72" s="17">
        <v>8</v>
      </c>
      <c r="R72" s="17">
        <v>1</v>
      </c>
      <c r="S72" s="17">
        <v>1</v>
      </c>
      <c r="V72"/>
      <c r="W72"/>
      <c r="X72"/>
      <c r="Y72"/>
      <c r="Z72"/>
      <c r="AA72"/>
      <c r="AB72"/>
      <c r="AC72"/>
    </row>
    <row r="73" spans="1:29" s="17" customFormat="1" x14ac:dyDescent="0.35">
      <c r="A73" s="21"/>
      <c r="B73" s="21"/>
      <c r="D73" s="21" t="s">
        <v>94</v>
      </c>
      <c r="E73" s="21" t="s">
        <v>18</v>
      </c>
      <c r="G73" s="17">
        <v>48</v>
      </c>
      <c r="H73" s="93"/>
      <c r="V73"/>
      <c r="W73"/>
      <c r="X73"/>
      <c r="Y73"/>
      <c r="Z73"/>
      <c r="AA73"/>
      <c r="AB73"/>
      <c r="AC73"/>
    </row>
    <row r="74" spans="1:29" s="17" customFormat="1" x14ac:dyDescent="0.35">
      <c r="A74" s="21"/>
      <c r="B74" s="21"/>
      <c r="D74" s="21" t="s">
        <v>127</v>
      </c>
      <c r="E74" s="21" t="s">
        <v>128</v>
      </c>
      <c r="G74" s="17">
        <v>2</v>
      </c>
      <c r="H74" s="93"/>
      <c r="V74"/>
      <c r="W74"/>
      <c r="X74"/>
      <c r="Y74"/>
      <c r="Z74"/>
      <c r="AA74"/>
      <c r="AB74"/>
      <c r="AC74"/>
    </row>
    <row r="75" spans="1:29" s="17" customFormat="1" x14ac:dyDescent="0.35">
      <c r="A75" s="21"/>
      <c r="B75" s="21"/>
      <c r="D75" s="21" t="s">
        <v>641</v>
      </c>
      <c r="E75" s="21" t="s">
        <v>642</v>
      </c>
      <c r="G75" s="17">
        <v>10</v>
      </c>
      <c r="H75" s="93"/>
      <c r="V75"/>
      <c r="W75"/>
      <c r="X75"/>
      <c r="Y75"/>
      <c r="Z75"/>
      <c r="AA75"/>
      <c r="AB75"/>
      <c r="AC75"/>
    </row>
    <row r="76" spans="1:29" s="49" customFormat="1" ht="21.75" thickBot="1" x14ac:dyDescent="0.4">
      <c r="A76" s="48"/>
      <c r="B76" s="48"/>
      <c r="D76" s="48"/>
      <c r="E76" s="48"/>
      <c r="H76" s="94"/>
      <c r="V76" s="76"/>
      <c r="W76" s="76"/>
      <c r="X76" s="76"/>
      <c r="Y76" s="76"/>
      <c r="Z76" s="76"/>
      <c r="AA76" s="76"/>
      <c r="AB76" s="76"/>
      <c r="AC76" s="76"/>
    </row>
    <row r="77" spans="1:29" s="47" customFormat="1" x14ac:dyDescent="0.35">
      <c r="A77" s="46" t="s">
        <v>446</v>
      </c>
      <c r="B77" s="46" t="s">
        <v>220</v>
      </c>
      <c r="C77" s="53">
        <v>4996</v>
      </c>
      <c r="D77" s="46" t="s">
        <v>76</v>
      </c>
      <c r="E77" s="46" t="s">
        <v>150</v>
      </c>
      <c r="F77" s="47" t="s">
        <v>647</v>
      </c>
      <c r="G77" s="47">
        <v>1</v>
      </c>
      <c r="H77" s="95">
        <v>46175</v>
      </c>
      <c r="K77" s="47">
        <v>0.25</v>
      </c>
      <c r="M77" s="47">
        <v>0.25</v>
      </c>
      <c r="V77"/>
      <c r="W77"/>
      <c r="X77"/>
      <c r="Y77"/>
      <c r="Z77"/>
      <c r="AA77"/>
      <c r="AB77"/>
      <c r="AC77"/>
    </row>
    <row r="78" spans="1:29" s="17" customFormat="1" x14ac:dyDescent="0.35">
      <c r="A78" s="21"/>
      <c r="B78" s="21"/>
      <c r="D78" s="21" t="s">
        <v>103</v>
      </c>
      <c r="E78" s="21" t="s">
        <v>70</v>
      </c>
      <c r="G78" s="17">
        <v>1</v>
      </c>
      <c r="H78" s="93"/>
      <c r="K78" s="17">
        <v>0.5</v>
      </c>
      <c r="M78" s="17">
        <v>0.5</v>
      </c>
      <c r="V78"/>
      <c r="W78"/>
      <c r="X78"/>
      <c r="Y78"/>
      <c r="Z78"/>
      <c r="AA78"/>
      <c r="AB78"/>
      <c r="AC78"/>
    </row>
    <row r="79" spans="1:29" s="17" customFormat="1" x14ac:dyDescent="0.35">
      <c r="A79" s="21"/>
      <c r="B79" s="21"/>
      <c r="D79" s="21" t="s">
        <v>93</v>
      </c>
      <c r="E79" s="21" t="s">
        <v>14</v>
      </c>
      <c r="G79" s="17">
        <v>1</v>
      </c>
      <c r="H79" s="93"/>
      <c r="K79" s="17">
        <v>0.5</v>
      </c>
      <c r="M79" s="17">
        <v>0.5</v>
      </c>
      <c r="V79"/>
      <c r="W79"/>
      <c r="X79"/>
      <c r="Y79"/>
      <c r="Z79"/>
      <c r="AA79"/>
      <c r="AB79"/>
      <c r="AC79"/>
    </row>
    <row r="80" spans="1:29" s="17" customFormat="1" x14ac:dyDescent="0.35">
      <c r="A80" s="21"/>
      <c r="B80" s="21"/>
      <c r="D80" s="21" t="s">
        <v>278</v>
      </c>
      <c r="E80" s="21" t="s">
        <v>279</v>
      </c>
      <c r="G80" s="17">
        <v>24</v>
      </c>
      <c r="H80" s="93"/>
      <c r="V80"/>
      <c r="W80"/>
      <c r="X80"/>
      <c r="Y80"/>
      <c r="Z80"/>
      <c r="AA80"/>
      <c r="AB80"/>
      <c r="AC80"/>
    </row>
    <row r="81" spans="1:29" s="49" customFormat="1" ht="21.75" thickBot="1" x14ac:dyDescent="0.4">
      <c r="A81" s="48"/>
      <c r="B81" s="48"/>
      <c r="D81" s="48"/>
      <c r="E81" s="48"/>
      <c r="H81" s="94"/>
      <c r="V81" s="76"/>
      <c r="W81" s="76"/>
      <c r="X81" s="76"/>
      <c r="Y81" s="76"/>
      <c r="Z81" s="76"/>
      <c r="AA81" s="76"/>
      <c r="AB81" s="76"/>
      <c r="AC81" s="76"/>
    </row>
    <row r="82" spans="1:29" s="47" customFormat="1" x14ac:dyDescent="0.35">
      <c r="A82" s="46" t="s">
        <v>693</v>
      </c>
      <c r="B82" s="46" t="s">
        <v>220</v>
      </c>
      <c r="C82" s="53">
        <v>5027</v>
      </c>
      <c r="D82" s="46" t="s">
        <v>75</v>
      </c>
      <c r="E82" s="46" t="s">
        <v>55</v>
      </c>
      <c r="F82" s="47" t="s">
        <v>376</v>
      </c>
      <c r="G82" s="47">
        <v>1</v>
      </c>
      <c r="H82" s="95">
        <v>46188</v>
      </c>
      <c r="J82" s="47">
        <v>1</v>
      </c>
      <c r="V82"/>
      <c r="W82"/>
      <c r="X82"/>
      <c r="Y82"/>
      <c r="Z82"/>
      <c r="AA82"/>
      <c r="AB82"/>
      <c r="AC82"/>
    </row>
    <row r="83" spans="1:29" s="49" customFormat="1" ht="21.75" thickBot="1" x14ac:dyDescent="0.4">
      <c r="A83" s="48"/>
      <c r="B83" s="48"/>
      <c r="D83" s="48"/>
      <c r="E83" s="48"/>
      <c r="H83" s="94"/>
      <c r="V83" s="76"/>
      <c r="W83" s="76"/>
      <c r="X83" s="76"/>
      <c r="Y83" s="76"/>
      <c r="Z83" s="76"/>
      <c r="AA83" s="76"/>
      <c r="AB83" s="76"/>
      <c r="AC83" s="76"/>
    </row>
    <row r="84" spans="1:29" s="47" customFormat="1" x14ac:dyDescent="0.35">
      <c r="A84" s="46" t="s">
        <v>713</v>
      </c>
      <c r="B84" s="46" t="s">
        <v>220</v>
      </c>
      <c r="C84" s="54">
        <v>5035</v>
      </c>
      <c r="D84" s="46" t="s">
        <v>706</v>
      </c>
      <c r="E84" s="46" t="s">
        <v>707</v>
      </c>
      <c r="F84" s="47" t="s">
        <v>720</v>
      </c>
      <c r="G84" s="47">
        <v>1</v>
      </c>
      <c r="H84" s="95">
        <v>46189</v>
      </c>
      <c r="J84" s="47">
        <v>0.5</v>
      </c>
      <c r="V84"/>
      <c r="W84"/>
      <c r="X84"/>
      <c r="Y84"/>
      <c r="Z84"/>
      <c r="AA84"/>
      <c r="AB84"/>
      <c r="AC84"/>
    </row>
    <row r="85" spans="1:29" s="17" customFormat="1" x14ac:dyDescent="0.35">
      <c r="A85" s="21"/>
      <c r="B85" s="21"/>
      <c r="D85" s="21" t="s">
        <v>708</v>
      </c>
      <c r="E85" s="21" t="s">
        <v>709</v>
      </c>
      <c r="G85" s="17">
        <v>1</v>
      </c>
      <c r="H85" s="93"/>
      <c r="V85"/>
      <c r="W85"/>
      <c r="X85"/>
      <c r="Y85"/>
      <c r="Z85"/>
      <c r="AA85"/>
      <c r="AB85"/>
      <c r="AC85"/>
    </row>
    <row r="86" spans="1:29" s="17" customFormat="1" x14ac:dyDescent="0.35">
      <c r="A86" s="21"/>
      <c r="B86" s="21"/>
      <c r="D86" s="21" t="s">
        <v>710</v>
      </c>
      <c r="E86" s="21" t="s">
        <v>711</v>
      </c>
      <c r="G86" s="17">
        <v>1</v>
      </c>
      <c r="H86" s="93"/>
      <c r="V86"/>
      <c r="W86"/>
      <c r="X86"/>
      <c r="Y86"/>
      <c r="Z86"/>
      <c r="AA86"/>
      <c r="AB86"/>
      <c r="AC86"/>
    </row>
    <row r="87" spans="1:29" s="17" customFormat="1" x14ac:dyDescent="0.35">
      <c r="A87" s="21"/>
      <c r="B87" s="21"/>
      <c r="D87" s="21" t="s">
        <v>924</v>
      </c>
      <c r="E87" s="21" t="s">
        <v>925</v>
      </c>
      <c r="G87" s="17">
        <v>1</v>
      </c>
      <c r="H87" s="93"/>
      <c r="J87" s="17" t="s">
        <v>126</v>
      </c>
      <c r="V87"/>
      <c r="W87"/>
      <c r="X87"/>
      <c r="Y87"/>
      <c r="Z87"/>
      <c r="AA87"/>
      <c r="AB87"/>
      <c r="AC87"/>
    </row>
    <row r="88" spans="1:29" s="17" customFormat="1" x14ac:dyDescent="0.35">
      <c r="A88" s="21"/>
      <c r="B88" s="21"/>
      <c r="D88" s="21" t="s">
        <v>519</v>
      </c>
      <c r="E88" s="21" t="s">
        <v>926</v>
      </c>
      <c r="G88" s="17">
        <v>1</v>
      </c>
      <c r="H88" s="93"/>
      <c r="V88"/>
      <c r="W88"/>
      <c r="X88"/>
      <c r="Y88"/>
      <c r="Z88"/>
      <c r="AA88"/>
      <c r="AB88"/>
      <c r="AC88"/>
    </row>
    <row r="89" spans="1:29" s="17" customFormat="1" x14ac:dyDescent="0.35">
      <c r="A89" s="21"/>
      <c r="B89" s="21"/>
      <c r="D89" s="21" t="s">
        <v>82</v>
      </c>
      <c r="E89" s="21" t="s">
        <v>26</v>
      </c>
      <c r="G89" s="17">
        <v>1</v>
      </c>
      <c r="H89" s="93"/>
      <c r="V89"/>
      <c r="W89"/>
      <c r="X89"/>
      <c r="Y89"/>
      <c r="Z89"/>
      <c r="AA89"/>
      <c r="AB89"/>
      <c r="AC89"/>
    </row>
    <row r="90" spans="1:29" s="17" customFormat="1" x14ac:dyDescent="0.35">
      <c r="A90" s="21"/>
      <c r="B90" s="21"/>
      <c r="D90" s="21" t="s">
        <v>92</v>
      </c>
      <c r="E90" s="21" t="s">
        <v>51</v>
      </c>
      <c r="G90" s="17">
        <v>1</v>
      </c>
      <c r="H90" s="93"/>
      <c r="V90"/>
      <c r="W90"/>
      <c r="X90"/>
      <c r="Y90"/>
      <c r="Z90"/>
      <c r="AA90"/>
      <c r="AB90"/>
      <c r="AC90"/>
    </row>
    <row r="91" spans="1:29" s="17" customFormat="1" x14ac:dyDescent="0.35">
      <c r="A91" s="21"/>
      <c r="B91" s="21"/>
      <c r="D91" s="21" t="s">
        <v>93</v>
      </c>
      <c r="E91" s="21" t="s">
        <v>14</v>
      </c>
      <c r="G91" s="17">
        <v>1</v>
      </c>
      <c r="H91" s="93"/>
      <c r="M91" s="17">
        <v>1</v>
      </c>
      <c r="V91"/>
      <c r="W91"/>
      <c r="X91"/>
      <c r="Y91"/>
      <c r="Z91"/>
      <c r="AA91"/>
      <c r="AB91"/>
      <c r="AC91"/>
    </row>
    <row r="92" spans="1:29" s="17" customFormat="1" x14ac:dyDescent="0.35">
      <c r="A92" s="21"/>
      <c r="B92" s="21"/>
      <c r="D92" s="21" t="s">
        <v>99</v>
      </c>
      <c r="E92" s="21" t="s">
        <v>766</v>
      </c>
      <c r="G92" s="17">
        <v>1</v>
      </c>
      <c r="H92" s="93"/>
      <c r="J92" s="17">
        <v>1</v>
      </c>
      <c r="V92"/>
      <c r="W92"/>
      <c r="X92"/>
      <c r="Y92"/>
      <c r="Z92"/>
      <c r="AA92"/>
      <c r="AB92"/>
      <c r="AC92"/>
    </row>
    <row r="93" spans="1:29" s="17" customFormat="1" x14ac:dyDescent="0.35">
      <c r="A93" s="21"/>
      <c r="B93" s="21"/>
      <c r="D93" s="21" t="s">
        <v>75</v>
      </c>
      <c r="E93" s="21" t="s">
        <v>55</v>
      </c>
      <c r="G93" s="17">
        <v>1</v>
      </c>
      <c r="H93" s="93"/>
      <c r="L93" s="17">
        <v>1</v>
      </c>
      <c r="V93"/>
      <c r="W93"/>
      <c r="X93"/>
      <c r="Y93"/>
      <c r="Z93"/>
      <c r="AA93"/>
      <c r="AB93"/>
      <c r="AC93"/>
    </row>
    <row r="94" spans="1:29" s="17" customFormat="1" x14ac:dyDescent="0.35">
      <c r="A94" s="21"/>
      <c r="B94" s="21"/>
      <c r="D94" s="21" t="s">
        <v>716</v>
      </c>
      <c r="E94" s="21" t="s">
        <v>717</v>
      </c>
      <c r="G94" s="17">
        <v>1</v>
      </c>
      <c r="H94" s="93"/>
      <c r="V94"/>
      <c r="W94"/>
      <c r="X94"/>
      <c r="Y94"/>
      <c r="Z94"/>
      <c r="AA94"/>
      <c r="AB94"/>
      <c r="AC94"/>
    </row>
    <row r="95" spans="1:29" s="17" customFormat="1" x14ac:dyDescent="0.35">
      <c r="A95" s="21"/>
      <c r="B95" s="21"/>
      <c r="D95" s="21" t="s">
        <v>81</v>
      </c>
      <c r="E95" s="21" t="s">
        <v>15</v>
      </c>
      <c r="G95" s="17">
        <v>1</v>
      </c>
      <c r="H95" s="93"/>
      <c r="O95" s="17">
        <v>1</v>
      </c>
      <c r="V95"/>
      <c r="W95"/>
      <c r="X95"/>
      <c r="Y95"/>
      <c r="Z95"/>
      <c r="AA95"/>
      <c r="AB95"/>
      <c r="AC95"/>
    </row>
    <row r="96" spans="1:29" s="17" customFormat="1" x14ac:dyDescent="0.35">
      <c r="A96" s="21"/>
      <c r="B96" s="21"/>
      <c r="D96" s="21" t="s">
        <v>94</v>
      </c>
      <c r="E96" s="21" t="s">
        <v>18</v>
      </c>
      <c r="G96" s="17">
        <v>24</v>
      </c>
      <c r="H96" s="93"/>
      <c r="V96"/>
      <c r="W96"/>
      <c r="X96"/>
      <c r="Y96"/>
      <c r="Z96"/>
      <c r="AA96"/>
      <c r="AB96"/>
      <c r="AC96"/>
    </row>
    <row r="97" spans="1:29" s="17" customFormat="1" x14ac:dyDescent="0.35">
      <c r="A97" s="21"/>
      <c r="B97" s="21"/>
      <c r="D97" s="21" t="s">
        <v>212</v>
      </c>
      <c r="E97" s="21" t="s">
        <v>213</v>
      </c>
      <c r="G97" s="17">
        <v>1</v>
      </c>
      <c r="H97" s="93"/>
      <c r="V97"/>
      <c r="W97"/>
      <c r="X97"/>
      <c r="Y97"/>
      <c r="Z97"/>
      <c r="AA97"/>
      <c r="AB97"/>
      <c r="AC97"/>
    </row>
    <row r="98" spans="1:29" s="17" customFormat="1" x14ac:dyDescent="0.35">
      <c r="A98" s="21"/>
      <c r="B98" s="21"/>
      <c r="D98" s="21" t="s">
        <v>89</v>
      </c>
      <c r="E98" s="21" t="s">
        <v>90</v>
      </c>
      <c r="G98" s="17">
        <v>1</v>
      </c>
      <c r="H98" s="93"/>
      <c r="V98"/>
      <c r="W98"/>
      <c r="X98"/>
      <c r="Y98"/>
      <c r="Z98"/>
      <c r="AA98"/>
      <c r="AB98"/>
      <c r="AC98"/>
    </row>
    <row r="99" spans="1:29" s="17" customFormat="1" x14ac:dyDescent="0.35">
      <c r="A99" s="21"/>
      <c r="B99" s="21"/>
      <c r="D99" s="21" t="s">
        <v>112</v>
      </c>
      <c r="E99" s="21" t="s">
        <v>118</v>
      </c>
      <c r="G99" s="17">
        <v>1</v>
      </c>
      <c r="H99" s="93"/>
      <c r="V99"/>
      <c r="W99"/>
      <c r="X99"/>
      <c r="Y99"/>
      <c r="Z99"/>
      <c r="AA99"/>
      <c r="AB99"/>
      <c r="AC99"/>
    </row>
    <row r="100" spans="1:29" s="17" customFormat="1" x14ac:dyDescent="0.35">
      <c r="A100" s="21"/>
      <c r="B100" s="21"/>
      <c r="D100" s="21" t="s">
        <v>239</v>
      </c>
      <c r="E100" s="21" t="s">
        <v>240</v>
      </c>
      <c r="G100" s="17">
        <v>2</v>
      </c>
      <c r="H100" s="93"/>
      <c r="V100"/>
      <c r="W100"/>
      <c r="X100"/>
      <c r="Y100"/>
      <c r="Z100"/>
      <c r="AA100"/>
      <c r="AB100"/>
      <c r="AC100"/>
    </row>
    <row r="101" spans="1:29" s="17" customFormat="1" x14ac:dyDescent="0.35">
      <c r="A101" s="21"/>
      <c r="B101" s="21"/>
      <c r="D101" s="21" t="s">
        <v>114</v>
      </c>
      <c r="E101" s="21" t="s">
        <v>120</v>
      </c>
      <c r="G101" s="17">
        <v>1</v>
      </c>
      <c r="H101" s="93"/>
      <c r="V101"/>
      <c r="W101"/>
      <c r="X101"/>
      <c r="Y101"/>
      <c r="Z101"/>
      <c r="AA101"/>
      <c r="AB101"/>
      <c r="AC101"/>
    </row>
    <row r="102" spans="1:29" s="17" customFormat="1" x14ac:dyDescent="0.35">
      <c r="A102" s="21"/>
      <c r="B102" s="21"/>
      <c r="D102" s="21" t="s">
        <v>113</v>
      </c>
      <c r="E102" s="21" t="s">
        <v>119</v>
      </c>
      <c r="G102" s="17">
        <v>1</v>
      </c>
      <c r="H102" s="93"/>
      <c r="V102"/>
      <c r="W102"/>
      <c r="X102"/>
      <c r="Y102"/>
      <c r="Z102"/>
      <c r="AA102"/>
      <c r="AB102"/>
      <c r="AC102"/>
    </row>
    <row r="103" spans="1:29" s="17" customFormat="1" x14ac:dyDescent="0.35">
      <c r="A103" s="21"/>
      <c r="B103" s="21"/>
      <c r="D103" s="21" t="s">
        <v>256</v>
      </c>
      <c r="E103" s="21" t="s">
        <v>257</v>
      </c>
      <c r="G103" s="17">
        <v>1</v>
      </c>
      <c r="H103" s="93"/>
      <c r="V103"/>
      <c r="W103"/>
      <c r="X103"/>
      <c r="Y103"/>
      <c r="Z103"/>
      <c r="AA103"/>
      <c r="AB103"/>
      <c r="AC103"/>
    </row>
    <row r="104" spans="1:29" s="17" customFormat="1" x14ac:dyDescent="0.35">
      <c r="A104" s="21"/>
      <c r="B104" s="21"/>
      <c r="D104" s="21" t="s">
        <v>115</v>
      </c>
      <c r="E104" s="21" t="s">
        <v>121</v>
      </c>
      <c r="G104" s="17">
        <v>1</v>
      </c>
      <c r="H104" s="93"/>
      <c r="V104"/>
      <c r="W104"/>
      <c r="X104"/>
      <c r="Y104"/>
      <c r="Z104"/>
      <c r="AA104"/>
      <c r="AB104"/>
      <c r="AC104"/>
    </row>
    <row r="105" spans="1:29" s="17" customFormat="1" x14ac:dyDescent="0.35">
      <c r="A105" s="21"/>
      <c r="B105" s="21"/>
      <c r="D105" s="21" t="s">
        <v>524</v>
      </c>
      <c r="E105" s="21" t="s">
        <v>525</v>
      </c>
      <c r="G105" s="17">
        <v>1</v>
      </c>
      <c r="H105" s="93"/>
      <c r="V105"/>
      <c r="W105"/>
      <c r="X105"/>
      <c r="Y105"/>
      <c r="Z105"/>
      <c r="AA105"/>
      <c r="AB105"/>
      <c r="AC105"/>
    </row>
    <row r="106" spans="1:29" s="17" customFormat="1" x14ac:dyDescent="0.35">
      <c r="A106" s="21"/>
      <c r="B106" s="21"/>
      <c r="D106" s="21" t="s">
        <v>718</v>
      </c>
      <c r="E106" s="21" t="s">
        <v>719</v>
      </c>
      <c r="G106" s="17">
        <v>1</v>
      </c>
      <c r="H106" s="93"/>
      <c r="V106"/>
      <c r="W106"/>
      <c r="X106"/>
      <c r="Y106"/>
      <c r="Z106"/>
      <c r="AA106"/>
      <c r="AB106"/>
      <c r="AC106"/>
    </row>
    <row r="107" spans="1:29" s="17" customFormat="1" x14ac:dyDescent="0.35">
      <c r="A107" s="21"/>
      <c r="B107" s="21"/>
      <c r="D107" s="21" t="s">
        <v>210</v>
      </c>
      <c r="E107" s="21" t="s">
        <v>211</v>
      </c>
      <c r="G107" s="17">
        <v>1</v>
      </c>
      <c r="H107" s="93"/>
      <c r="V107"/>
      <c r="W107"/>
      <c r="X107"/>
      <c r="Y107"/>
      <c r="Z107"/>
      <c r="AA107"/>
      <c r="AB107"/>
      <c r="AC107"/>
    </row>
    <row r="108" spans="1:29" s="74" customFormat="1" x14ac:dyDescent="0.35">
      <c r="A108" s="84"/>
      <c r="B108" s="84"/>
      <c r="D108" s="84" t="s">
        <v>234</v>
      </c>
      <c r="E108" s="84" t="s">
        <v>235</v>
      </c>
      <c r="G108" s="74">
        <v>1</v>
      </c>
      <c r="H108" s="99"/>
      <c r="V108"/>
      <c r="W108"/>
      <c r="X108"/>
      <c r="Y108"/>
      <c r="Z108"/>
      <c r="AA108"/>
      <c r="AB108"/>
      <c r="AC108"/>
    </row>
    <row r="109" spans="1:29" s="74" customFormat="1" x14ac:dyDescent="0.35">
      <c r="A109" s="84"/>
      <c r="B109" s="84"/>
      <c r="D109" s="84" t="s">
        <v>91</v>
      </c>
      <c r="E109" s="84" t="s">
        <v>27</v>
      </c>
      <c r="G109" s="74">
        <v>1</v>
      </c>
      <c r="H109" s="99"/>
      <c r="V109"/>
      <c r="W109"/>
      <c r="X109"/>
      <c r="Y109"/>
      <c r="Z109"/>
      <c r="AA109"/>
      <c r="AB109"/>
      <c r="AC109"/>
    </row>
    <row r="110" spans="1:29" s="49" customFormat="1" ht="21.75" thickBot="1" x14ac:dyDescent="0.4">
      <c r="A110" s="48"/>
      <c r="B110" s="48"/>
      <c r="D110" s="48"/>
      <c r="E110" s="48"/>
      <c r="H110" s="94"/>
      <c r="V110" s="76"/>
      <c r="W110" s="76"/>
      <c r="X110" s="76"/>
      <c r="Y110" s="76"/>
      <c r="Z110" s="76"/>
      <c r="AA110" s="76"/>
      <c r="AB110" s="76"/>
      <c r="AC110" s="76"/>
    </row>
    <row r="111" spans="1:29" s="47" customFormat="1" x14ac:dyDescent="0.35">
      <c r="A111" s="46" t="s">
        <v>727</v>
      </c>
      <c r="B111" s="46" t="s">
        <v>220</v>
      </c>
      <c r="C111" s="53">
        <v>5040</v>
      </c>
      <c r="D111" s="46" t="s">
        <v>728</v>
      </c>
      <c r="E111" s="46" t="s">
        <v>729</v>
      </c>
      <c r="F111" s="47" t="s">
        <v>736</v>
      </c>
      <c r="G111" s="47">
        <v>1</v>
      </c>
      <c r="H111" s="95">
        <v>46190</v>
      </c>
      <c r="L111" s="47">
        <v>1</v>
      </c>
      <c r="V111"/>
      <c r="W111"/>
      <c r="X111"/>
      <c r="Y111"/>
      <c r="Z111"/>
      <c r="AA111"/>
      <c r="AB111"/>
      <c r="AC111"/>
    </row>
    <row r="112" spans="1:29" s="17" customFormat="1" x14ac:dyDescent="0.35">
      <c r="A112" s="21"/>
      <c r="B112" s="21"/>
      <c r="D112" s="21" t="s">
        <v>730</v>
      </c>
      <c r="E112" s="21" t="s">
        <v>731</v>
      </c>
      <c r="G112" s="17">
        <v>1</v>
      </c>
      <c r="H112" s="93"/>
      <c r="L112" s="17">
        <v>1</v>
      </c>
      <c r="V112"/>
      <c r="W112"/>
      <c r="X112"/>
      <c r="Y112"/>
      <c r="Z112"/>
      <c r="AA112"/>
      <c r="AB112"/>
      <c r="AC112"/>
    </row>
    <row r="113" spans="1:29" s="17" customFormat="1" x14ac:dyDescent="0.35">
      <c r="A113" s="21"/>
      <c r="B113" s="21"/>
      <c r="D113" s="21" t="s">
        <v>75</v>
      </c>
      <c r="E113" s="21" t="s">
        <v>55</v>
      </c>
      <c r="G113" s="17">
        <v>1</v>
      </c>
      <c r="H113" s="93"/>
      <c r="L113" s="17">
        <v>1</v>
      </c>
      <c r="V113"/>
      <c r="W113"/>
      <c r="X113"/>
      <c r="Y113"/>
      <c r="Z113"/>
      <c r="AA113"/>
      <c r="AB113"/>
      <c r="AC113"/>
    </row>
    <row r="114" spans="1:29" s="17" customFormat="1" x14ac:dyDescent="0.35">
      <c r="A114" s="21"/>
      <c r="B114" s="21"/>
      <c r="D114" s="21" t="s">
        <v>732</v>
      </c>
      <c r="E114" s="21" t="s">
        <v>733</v>
      </c>
      <c r="G114" s="17">
        <v>1</v>
      </c>
      <c r="H114" s="93"/>
      <c r="V114"/>
      <c r="W114"/>
      <c r="X114"/>
      <c r="Y114"/>
      <c r="Z114"/>
      <c r="AA114"/>
      <c r="AB114"/>
      <c r="AC114"/>
    </row>
    <row r="115" spans="1:29" s="17" customFormat="1" x14ac:dyDescent="0.35">
      <c r="A115" s="21"/>
      <c r="B115" s="21"/>
      <c r="D115" s="21" t="s">
        <v>111</v>
      </c>
      <c r="E115" s="21" t="s">
        <v>117</v>
      </c>
      <c r="G115" s="17">
        <v>1</v>
      </c>
      <c r="H115" s="93"/>
      <c r="V115"/>
      <c r="W115"/>
      <c r="X115"/>
      <c r="Y115"/>
      <c r="Z115"/>
      <c r="AA115"/>
      <c r="AB115"/>
      <c r="AC115"/>
    </row>
    <row r="116" spans="1:29" s="17" customFormat="1" x14ac:dyDescent="0.35">
      <c r="A116" s="21"/>
      <c r="B116" s="21"/>
      <c r="D116" s="21" t="s">
        <v>734</v>
      </c>
      <c r="E116" s="21" t="s">
        <v>735</v>
      </c>
      <c r="G116" s="17">
        <v>4</v>
      </c>
      <c r="H116" s="93"/>
      <c r="V116"/>
      <c r="W116"/>
      <c r="X116"/>
      <c r="Y116"/>
      <c r="Z116"/>
      <c r="AA116"/>
      <c r="AB116"/>
      <c r="AC116"/>
    </row>
    <row r="117" spans="1:29" s="49" customFormat="1" ht="21.75" thickBot="1" x14ac:dyDescent="0.4">
      <c r="A117" s="48"/>
      <c r="B117" s="48"/>
      <c r="D117" s="48"/>
      <c r="E117" s="48"/>
      <c r="H117" s="94"/>
      <c r="V117" s="76"/>
      <c r="W117" s="76"/>
      <c r="X117" s="76"/>
      <c r="Y117" s="76"/>
      <c r="Z117" s="76"/>
      <c r="AA117" s="76"/>
      <c r="AB117" s="76"/>
      <c r="AC117" s="76"/>
    </row>
    <row r="118" spans="1:29" s="17" customFormat="1" x14ac:dyDescent="0.35">
      <c r="A118" s="21" t="s">
        <v>743</v>
      </c>
      <c r="B118" s="21" t="s">
        <v>296</v>
      </c>
      <c r="C118" s="50">
        <v>5042</v>
      </c>
      <c r="D118" s="21" t="s">
        <v>106</v>
      </c>
      <c r="E118" s="21" t="s">
        <v>69</v>
      </c>
      <c r="G118" s="17">
        <v>1</v>
      </c>
      <c r="H118" s="93">
        <v>46192</v>
      </c>
      <c r="J118" s="17">
        <v>1</v>
      </c>
      <c r="V118"/>
      <c r="W118"/>
      <c r="X118"/>
      <c r="Y118"/>
      <c r="Z118"/>
      <c r="AA118"/>
      <c r="AB118"/>
      <c r="AC118"/>
    </row>
    <row r="119" spans="1:29" s="17" customFormat="1" x14ac:dyDescent="0.35">
      <c r="A119" s="21"/>
      <c r="B119" s="21"/>
      <c r="D119" s="21" t="s">
        <v>81</v>
      </c>
      <c r="E119" s="21" t="s">
        <v>15</v>
      </c>
      <c r="F119" s="17" t="s">
        <v>744</v>
      </c>
      <c r="G119" s="17">
        <v>3</v>
      </c>
      <c r="H119" s="93"/>
      <c r="J119" s="17">
        <v>1</v>
      </c>
      <c r="V119"/>
      <c r="W119"/>
      <c r="X119"/>
      <c r="Y119"/>
      <c r="Z119"/>
      <c r="AA119"/>
      <c r="AB119"/>
      <c r="AC119"/>
    </row>
    <row r="120" spans="1:29" s="17" customFormat="1" x14ac:dyDescent="0.35">
      <c r="A120" s="21"/>
      <c r="B120" s="21"/>
      <c r="D120" s="21" t="s">
        <v>322</v>
      </c>
      <c r="E120" s="21" t="s">
        <v>323</v>
      </c>
      <c r="G120" s="17">
        <v>3</v>
      </c>
      <c r="H120" s="93"/>
      <c r="V120"/>
      <c r="W120"/>
      <c r="X120"/>
      <c r="Y120"/>
      <c r="Z120"/>
      <c r="AA120"/>
      <c r="AB120"/>
      <c r="AC120"/>
    </row>
    <row r="121" spans="1:29" s="17" customFormat="1" x14ac:dyDescent="0.35">
      <c r="A121" s="21"/>
      <c r="B121" s="21"/>
      <c r="D121" s="21" t="s">
        <v>157</v>
      </c>
      <c r="E121" s="21" t="s">
        <v>158</v>
      </c>
      <c r="G121" s="17">
        <v>1</v>
      </c>
      <c r="H121" s="93"/>
      <c r="V121"/>
      <c r="W121"/>
      <c r="X121"/>
      <c r="Y121"/>
      <c r="Z121"/>
      <c r="AA121"/>
      <c r="AB121"/>
      <c r="AC121"/>
    </row>
    <row r="122" spans="1:29" s="17" customFormat="1" x14ac:dyDescent="0.35">
      <c r="A122" s="21"/>
      <c r="B122" s="21"/>
      <c r="D122" s="21" t="s">
        <v>116</v>
      </c>
      <c r="E122" s="21" t="s">
        <v>122</v>
      </c>
      <c r="G122" s="17">
        <v>1</v>
      </c>
      <c r="H122" s="93"/>
      <c r="V122"/>
      <c r="W122"/>
      <c r="X122"/>
      <c r="Y122"/>
      <c r="Z122"/>
      <c r="AA122"/>
      <c r="AB122"/>
      <c r="AC122"/>
    </row>
    <row r="123" spans="1:29" s="17" customFormat="1" x14ac:dyDescent="0.35">
      <c r="A123" s="21"/>
      <c r="B123" s="21"/>
      <c r="D123" s="21" t="s">
        <v>95</v>
      </c>
      <c r="E123" s="21" t="s">
        <v>71</v>
      </c>
      <c r="G123" s="17">
        <v>2</v>
      </c>
      <c r="H123" s="93"/>
      <c r="V123"/>
      <c r="W123"/>
      <c r="X123"/>
      <c r="Y123"/>
      <c r="Z123"/>
      <c r="AA123"/>
      <c r="AB123"/>
      <c r="AC123"/>
    </row>
    <row r="124" spans="1:29" s="17" customFormat="1" x14ac:dyDescent="0.35">
      <c r="A124" s="21"/>
      <c r="B124" s="21"/>
      <c r="D124" s="21" t="s">
        <v>239</v>
      </c>
      <c r="E124" s="21" t="s">
        <v>240</v>
      </c>
      <c r="G124" s="17">
        <v>1</v>
      </c>
      <c r="H124" s="93"/>
      <c r="V124"/>
      <c r="W124"/>
      <c r="X124"/>
      <c r="Y124"/>
      <c r="Z124"/>
      <c r="AA124"/>
      <c r="AB124"/>
      <c r="AC124"/>
    </row>
    <row r="125" spans="1:29" s="17" customFormat="1" x14ac:dyDescent="0.35">
      <c r="A125" s="21"/>
      <c r="B125" s="21"/>
      <c r="D125" s="21" t="s">
        <v>114</v>
      </c>
      <c r="E125" s="21" t="s">
        <v>120</v>
      </c>
      <c r="G125" s="17">
        <v>1</v>
      </c>
      <c r="H125" s="93"/>
      <c r="V125"/>
      <c r="W125"/>
      <c r="X125"/>
      <c r="Y125"/>
      <c r="Z125"/>
      <c r="AA125"/>
      <c r="AB125"/>
      <c r="AC125"/>
    </row>
    <row r="126" spans="1:29" s="17" customFormat="1" x14ac:dyDescent="0.35">
      <c r="A126" s="21"/>
      <c r="B126" s="21"/>
      <c r="D126" s="21" t="s">
        <v>256</v>
      </c>
      <c r="E126" s="21" t="s">
        <v>257</v>
      </c>
      <c r="G126" s="17">
        <v>1</v>
      </c>
      <c r="H126" s="93"/>
      <c r="V126"/>
      <c r="W126"/>
      <c r="X126"/>
      <c r="Y126"/>
      <c r="Z126"/>
      <c r="AA126"/>
      <c r="AB126"/>
      <c r="AC126"/>
    </row>
    <row r="127" spans="1:29" s="17" customFormat="1" x14ac:dyDescent="0.35">
      <c r="A127" s="21"/>
      <c r="B127" s="21"/>
      <c r="D127" s="21" t="s">
        <v>115</v>
      </c>
      <c r="E127" s="21" t="s">
        <v>121</v>
      </c>
      <c r="G127" s="17">
        <v>1</v>
      </c>
      <c r="H127" s="93"/>
      <c r="V127"/>
      <c r="W127"/>
      <c r="X127"/>
      <c r="Y127"/>
      <c r="Z127"/>
      <c r="AA127"/>
      <c r="AB127"/>
      <c r="AC127"/>
    </row>
    <row r="128" spans="1:29" s="17" customFormat="1" x14ac:dyDescent="0.35">
      <c r="A128" s="21"/>
      <c r="B128" s="21"/>
      <c r="D128" s="21" t="s">
        <v>148</v>
      </c>
      <c r="E128" s="21" t="s">
        <v>149</v>
      </c>
      <c r="G128" s="17">
        <v>3</v>
      </c>
      <c r="H128" s="93"/>
      <c r="V128"/>
      <c r="W128"/>
      <c r="X128"/>
      <c r="Y128"/>
      <c r="Z128"/>
      <c r="AA128"/>
      <c r="AB128"/>
      <c r="AC128"/>
    </row>
    <row r="129" spans="1:29" s="17" customFormat="1" x14ac:dyDescent="0.35">
      <c r="A129" s="21"/>
      <c r="B129" s="21"/>
      <c r="D129" s="21" t="s">
        <v>109</v>
      </c>
      <c r="E129" s="21" t="s">
        <v>110</v>
      </c>
      <c r="G129" s="17">
        <v>1</v>
      </c>
      <c r="H129" s="93"/>
      <c r="V129"/>
      <c r="W129"/>
      <c r="X129"/>
      <c r="Y129"/>
      <c r="Z129"/>
      <c r="AA129"/>
      <c r="AB129"/>
      <c r="AC129"/>
    </row>
    <row r="130" spans="1:29" s="17" customFormat="1" x14ac:dyDescent="0.35">
      <c r="A130" s="21"/>
      <c r="B130" s="21"/>
      <c r="D130" s="21" t="s">
        <v>113</v>
      </c>
      <c r="E130" s="21" t="s">
        <v>119</v>
      </c>
      <c r="G130" s="17">
        <v>3</v>
      </c>
      <c r="H130" s="93"/>
      <c r="V130"/>
      <c r="W130"/>
      <c r="X130"/>
      <c r="Y130"/>
      <c r="Z130"/>
      <c r="AA130"/>
      <c r="AB130"/>
      <c r="AC130"/>
    </row>
    <row r="131" spans="1:29" s="17" customFormat="1" x14ac:dyDescent="0.35">
      <c r="A131" s="21"/>
      <c r="B131" s="21"/>
      <c r="D131" s="21" t="s">
        <v>244</v>
      </c>
      <c r="E131" s="21" t="s">
        <v>245</v>
      </c>
      <c r="G131" s="17">
        <v>1</v>
      </c>
      <c r="H131" s="93"/>
      <c r="V131"/>
      <c r="W131"/>
      <c r="X131"/>
      <c r="Y131"/>
      <c r="Z131"/>
      <c r="AA131"/>
      <c r="AB131"/>
      <c r="AC131"/>
    </row>
    <row r="132" spans="1:29" s="17" customFormat="1" x14ac:dyDescent="0.35">
      <c r="A132" s="21"/>
      <c r="B132" s="21"/>
      <c r="D132" s="21" t="s">
        <v>297</v>
      </c>
      <c r="E132" s="21" t="s">
        <v>298</v>
      </c>
      <c r="G132" s="17">
        <v>1</v>
      </c>
      <c r="H132" s="93"/>
      <c r="V132"/>
      <c r="W132"/>
      <c r="X132"/>
      <c r="Y132"/>
      <c r="Z132"/>
      <c r="AA132"/>
      <c r="AB132"/>
      <c r="AC132"/>
    </row>
    <row r="133" spans="1:29" s="74" customFormat="1" x14ac:dyDescent="0.35">
      <c r="A133" s="84"/>
      <c r="B133" s="84"/>
      <c r="D133" s="21" t="s">
        <v>292</v>
      </c>
      <c r="E133" s="21" t="s">
        <v>293</v>
      </c>
      <c r="F133" s="17"/>
      <c r="G133" s="74">
        <v>1</v>
      </c>
      <c r="H133" s="99"/>
      <c r="V133"/>
      <c r="W133"/>
      <c r="X133"/>
      <c r="Y133"/>
      <c r="Z133"/>
      <c r="AA133"/>
      <c r="AB133"/>
      <c r="AC133"/>
    </row>
    <row r="134" spans="1:29" s="49" customFormat="1" ht="21.75" thickBot="1" x14ac:dyDescent="0.4">
      <c r="A134" s="48"/>
      <c r="B134" s="48"/>
      <c r="D134" s="81"/>
      <c r="E134" s="81"/>
      <c r="F134" s="81"/>
      <c r="H134" s="94"/>
      <c r="V134" s="76"/>
      <c r="W134" s="76"/>
      <c r="X134" s="76"/>
      <c r="Y134" s="76"/>
      <c r="Z134" s="76"/>
      <c r="AA134" s="76"/>
      <c r="AB134" s="76"/>
      <c r="AC134" s="76"/>
    </row>
    <row r="135" spans="1:29" s="17" customFormat="1" x14ac:dyDescent="0.35">
      <c r="A135" s="21" t="s">
        <v>743</v>
      </c>
      <c r="B135" s="21" t="s">
        <v>296</v>
      </c>
      <c r="C135" s="50">
        <v>5043</v>
      </c>
      <c r="D135" s="21" t="s">
        <v>106</v>
      </c>
      <c r="E135" s="21" t="s">
        <v>69</v>
      </c>
      <c r="G135" s="17">
        <v>1</v>
      </c>
      <c r="H135" s="93">
        <v>46192</v>
      </c>
      <c r="J135" s="17">
        <v>1</v>
      </c>
      <c r="V135"/>
      <c r="W135"/>
      <c r="X135"/>
      <c r="Y135"/>
      <c r="Z135"/>
      <c r="AA135"/>
      <c r="AB135"/>
      <c r="AC135"/>
    </row>
    <row r="136" spans="1:29" s="17" customFormat="1" x14ac:dyDescent="0.35">
      <c r="A136" s="21"/>
      <c r="B136" s="21"/>
      <c r="D136" s="21" t="s">
        <v>85</v>
      </c>
      <c r="E136" s="21" t="s">
        <v>22</v>
      </c>
      <c r="G136" s="17">
        <v>1</v>
      </c>
      <c r="H136" s="93"/>
      <c r="J136" s="17">
        <v>1</v>
      </c>
      <c r="V136"/>
      <c r="W136"/>
      <c r="X136"/>
      <c r="Y136"/>
      <c r="Z136"/>
      <c r="AA136"/>
      <c r="AB136"/>
      <c r="AC136"/>
    </row>
    <row r="137" spans="1:29" s="17" customFormat="1" x14ac:dyDescent="0.35">
      <c r="A137" s="21"/>
      <c r="B137" s="21"/>
      <c r="D137" s="21" t="s">
        <v>81</v>
      </c>
      <c r="E137" s="21" t="s">
        <v>15</v>
      </c>
      <c r="G137" s="17">
        <v>1</v>
      </c>
      <c r="H137" s="93"/>
      <c r="J137" s="17">
        <v>1</v>
      </c>
      <c r="V137"/>
      <c r="W137"/>
      <c r="X137"/>
      <c r="Y137"/>
      <c r="Z137"/>
      <c r="AA137"/>
      <c r="AB137"/>
      <c r="AC137"/>
    </row>
    <row r="138" spans="1:29" s="17" customFormat="1" x14ac:dyDescent="0.35">
      <c r="A138" s="21"/>
      <c r="B138" s="21"/>
      <c r="D138" s="21" t="s">
        <v>297</v>
      </c>
      <c r="E138" s="21" t="s">
        <v>298</v>
      </c>
      <c r="G138" s="17">
        <v>1</v>
      </c>
      <c r="H138" s="93"/>
      <c r="V138"/>
      <c r="W138"/>
      <c r="X138"/>
      <c r="Y138"/>
      <c r="Z138"/>
      <c r="AA138"/>
      <c r="AB138"/>
      <c r="AC138"/>
    </row>
    <row r="139" spans="1:29" s="17" customFormat="1" x14ac:dyDescent="0.35">
      <c r="A139" s="21"/>
      <c r="B139" s="21"/>
      <c r="D139" s="21" t="s">
        <v>292</v>
      </c>
      <c r="E139" s="21" t="s">
        <v>293</v>
      </c>
      <c r="G139" s="17">
        <v>1</v>
      </c>
      <c r="H139" s="93"/>
      <c r="V139"/>
      <c r="W139"/>
      <c r="X139"/>
      <c r="Y139"/>
      <c r="Z139"/>
      <c r="AA139"/>
      <c r="AB139"/>
      <c r="AC139"/>
    </row>
    <row r="140" spans="1:29" s="49" customFormat="1" ht="21.75" thickBot="1" x14ac:dyDescent="0.4">
      <c r="A140" s="48"/>
      <c r="B140" s="48"/>
      <c r="D140" s="48"/>
      <c r="E140" s="48"/>
      <c r="H140" s="94"/>
      <c r="V140" s="76"/>
      <c r="W140" s="76"/>
      <c r="X140" s="76"/>
      <c r="Y140" s="76"/>
      <c r="Z140" s="76"/>
      <c r="AA140" s="76"/>
      <c r="AB140" s="76"/>
      <c r="AC140" s="76"/>
    </row>
    <row r="141" spans="1:29" s="17" customFormat="1" x14ac:dyDescent="0.35">
      <c r="A141" s="21" t="s">
        <v>29</v>
      </c>
      <c r="B141" s="21" t="s">
        <v>600</v>
      </c>
      <c r="C141" s="50">
        <v>5047</v>
      </c>
      <c r="D141" s="21" t="s">
        <v>76</v>
      </c>
      <c r="E141" s="21" t="s">
        <v>150</v>
      </c>
      <c r="G141" s="17">
        <v>2</v>
      </c>
      <c r="H141" s="93">
        <v>46195</v>
      </c>
      <c r="K141" s="17">
        <v>0.5</v>
      </c>
      <c r="L141" s="17">
        <v>0.5</v>
      </c>
      <c r="V141"/>
      <c r="W141"/>
      <c r="X141"/>
      <c r="Y141"/>
      <c r="Z141"/>
      <c r="AA141"/>
      <c r="AB141"/>
      <c r="AC141"/>
    </row>
    <row r="142" spans="1:29" s="17" customFormat="1" x14ac:dyDescent="0.35">
      <c r="A142" s="21"/>
      <c r="B142" s="21"/>
      <c r="D142" s="21" t="s">
        <v>77</v>
      </c>
      <c r="E142" s="21" t="s">
        <v>20</v>
      </c>
      <c r="F142" s="17" t="s">
        <v>646</v>
      </c>
      <c r="G142" s="17">
        <v>2</v>
      </c>
      <c r="H142" s="93"/>
      <c r="V142"/>
      <c r="W142"/>
      <c r="X142"/>
      <c r="Y142"/>
      <c r="Z142"/>
      <c r="AA142"/>
      <c r="AB142"/>
      <c r="AC142"/>
    </row>
    <row r="143" spans="1:29" s="17" customFormat="1" x14ac:dyDescent="0.35">
      <c r="A143" s="21"/>
      <c r="B143" s="21"/>
      <c r="D143" s="21" t="s">
        <v>747</v>
      </c>
      <c r="E143" s="21" t="s">
        <v>748</v>
      </c>
      <c r="G143" s="17">
        <v>2</v>
      </c>
      <c r="H143" s="93"/>
      <c r="V143"/>
      <c r="W143"/>
      <c r="X143"/>
      <c r="Y143"/>
      <c r="Z143"/>
      <c r="AA143"/>
      <c r="AB143"/>
      <c r="AC143"/>
    </row>
    <row r="144" spans="1:29" s="49" customFormat="1" ht="21.75" thickBot="1" x14ac:dyDescent="0.4">
      <c r="A144" s="48"/>
      <c r="B144" s="48"/>
      <c r="D144" s="48"/>
      <c r="E144" s="48"/>
      <c r="H144" s="94"/>
      <c r="V144" s="76"/>
      <c r="W144" s="76"/>
      <c r="X144" s="76"/>
      <c r="Y144" s="76"/>
      <c r="Z144" s="76"/>
      <c r="AA144" s="76"/>
      <c r="AB144" s="76"/>
      <c r="AC144" s="76"/>
    </row>
    <row r="145" spans="1:29" s="17" customFormat="1" x14ac:dyDescent="0.35">
      <c r="A145" s="21" t="s">
        <v>749</v>
      </c>
      <c r="B145" s="21" t="s">
        <v>152</v>
      </c>
      <c r="C145" s="50">
        <v>5048</v>
      </c>
      <c r="D145" s="21" t="s">
        <v>76</v>
      </c>
      <c r="E145" s="21" t="s">
        <v>150</v>
      </c>
      <c r="G145" s="17">
        <v>1</v>
      </c>
      <c r="H145" s="93">
        <v>46195</v>
      </c>
      <c r="J145" s="17">
        <v>0.5</v>
      </c>
      <c r="V145"/>
      <c r="W145"/>
      <c r="X145"/>
      <c r="Y145"/>
      <c r="Z145"/>
      <c r="AA145"/>
      <c r="AB145"/>
      <c r="AC145"/>
    </row>
    <row r="146" spans="1:29" s="17" customFormat="1" x14ac:dyDescent="0.35">
      <c r="A146" s="21"/>
      <c r="B146" s="21"/>
      <c r="D146" s="21" t="s">
        <v>141</v>
      </c>
      <c r="E146" s="21" t="s">
        <v>151</v>
      </c>
      <c r="G146" s="17">
        <v>1</v>
      </c>
      <c r="H146" s="93"/>
      <c r="J146" s="17">
        <v>1</v>
      </c>
      <c r="V146"/>
      <c r="W146"/>
      <c r="X146"/>
      <c r="Y146"/>
      <c r="Z146"/>
      <c r="AA146"/>
      <c r="AB146"/>
      <c r="AC146"/>
    </row>
    <row r="147" spans="1:29" s="17" customFormat="1" x14ac:dyDescent="0.35">
      <c r="A147" s="21"/>
      <c r="B147" s="21"/>
      <c r="D147" s="21" t="s">
        <v>77</v>
      </c>
      <c r="E147" s="21" t="s">
        <v>20</v>
      </c>
      <c r="F147" s="17" t="s">
        <v>752</v>
      </c>
      <c r="G147" s="17">
        <v>1</v>
      </c>
      <c r="H147" s="93"/>
      <c r="V147"/>
      <c r="W147"/>
      <c r="X147"/>
      <c r="Y147"/>
      <c r="Z147"/>
      <c r="AA147"/>
      <c r="AB147"/>
      <c r="AC147"/>
    </row>
    <row r="148" spans="1:29" s="17" customFormat="1" x14ac:dyDescent="0.35">
      <c r="A148" s="21"/>
      <c r="B148" s="21"/>
      <c r="D148" s="21" t="s">
        <v>78</v>
      </c>
      <c r="E148" s="21" t="s">
        <v>16</v>
      </c>
      <c r="G148" s="17">
        <v>1</v>
      </c>
      <c r="H148" s="93"/>
      <c r="V148"/>
      <c r="W148"/>
      <c r="X148"/>
      <c r="Y148"/>
      <c r="Z148"/>
      <c r="AA148"/>
      <c r="AB148"/>
      <c r="AC148"/>
    </row>
    <row r="149" spans="1:29" s="17" customFormat="1" x14ac:dyDescent="0.35">
      <c r="A149" s="21"/>
      <c r="B149" s="21"/>
      <c r="D149" s="21" t="s">
        <v>83</v>
      </c>
      <c r="E149" s="21" t="s">
        <v>12</v>
      </c>
      <c r="G149" s="17">
        <v>1</v>
      </c>
      <c r="H149" s="93"/>
      <c r="V149"/>
      <c r="W149"/>
      <c r="X149"/>
      <c r="Y149"/>
      <c r="Z149"/>
      <c r="AA149"/>
      <c r="AB149"/>
      <c r="AC149"/>
    </row>
    <row r="150" spans="1:29" s="17" customFormat="1" x14ac:dyDescent="0.35">
      <c r="A150" s="21"/>
      <c r="B150" s="21"/>
      <c r="D150" s="21" t="s">
        <v>84</v>
      </c>
      <c r="E150" s="21" t="s">
        <v>13</v>
      </c>
      <c r="G150" s="17">
        <v>1</v>
      </c>
      <c r="H150" s="93"/>
      <c r="V150"/>
      <c r="W150"/>
      <c r="X150"/>
      <c r="Y150"/>
      <c r="Z150"/>
      <c r="AA150"/>
      <c r="AB150"/>
      <c r="AC150"/>
    </row>
    <row r="151" spans="1:29" s="17" customFormat="1" x14ac:dyDescent="0.35">
      <c r="A151" s="21"/>
      <c r="B151" s="21"/>
      <c r="D151" s="21" t="s">
        <v>374</v>
      </c>
      <c r="E151" s="21" t="s">
        <v>375</v>
      </c>
      <c r="G151" s="17">
        <v>1</v>
      </c>
      <c r="H151" s="93"/>
      <c r="J151" s="17">
        <v>1</v>
      </c>
      <c r="V151"/>
      <c r="W151"/>
      <c r="X151"/>
      <c r="Y151"/>
      <c r="Z151"/>
      <c r="AA151"/>
      <c r="AB151"/>
      <c r="AC151"/>
    </row>
    <row r="152" spans="1:29" s="17" customFormat="1" x14ac:dyDescent="0.35">
      <c r="A152" s="21"/>
      <c r="B152" s="21"/>
      <c r="D152" s="21" t="s">
        <v>88</v>
      </c>
      <c r="E152" s="21" t="s">
        <v>23</v>
      </c>
      <c r="G152" s="17">
        <v>1</v>
      </c>
      <c r="H152" s="93"/>
      <c r="J152" s="17">
        <v>1</v>
      </c>
      <c r="V152"/>
      <c r="W152"/>
      <c r="X152"/>
      <c r="Y152"/>
      <c r="Z152"/>
      <c r="AA152"/>
      <c r="AB152"/>
      <c r="AC152"/>
    </row>
    <row r="153" spans="1:29" s="17" customFormat="1" x14ac:dyDescent="0.35">
      <c r="A153" s="21"/>
      <c r="B153" s="21"/>
      <c r="D153" s="21" t="s">
        <v>87</v>
      </c>
      <c r="E153" s="21" t="s">
        <v>21</v>
      </c>
      <c r="G153" s="17">
        <v>1</v>
      </c>
      <c r="H153" s="93"/>
      <c r="J153" s="17">
        <v>1</v>
      </c>
      <c r="V153"/>
      <c r="W153"/>
      <c r="X153"/>
      <c r="Y153"/>
      <c r="Z153"/>
      <c r="AA153"/>
      <c r="AB153"/>
      <c r="AC153"/>
    </row>
    <row r="154" spans="1:29" s="17" customFormat="1" x14ac:dyDescent="0.35">
      <c r="A154" s="21"/>
      <c r="B154" s="21"/>
      <c r="D154" s="21" t="s">
        <v>79</v>
      </c>
      <c r="E154" s="21" t="s">
        <v>73</v>
      </c>
      <c r="G154" s="17">
        <v>1</v>
      </c>
      <c r="H154" s="93"/>
      <c r="J154" s="17">
        <v>1</v>
      </c>
      <c r="V154"/>
      <c r="W154"/>
      <c r="X154"/>
      <c r="Y154"/>
      <c r="Z154"/>
      <c r="AA154"/>
      <c r="AB154"/>
      <c r="AC154"/>
    </row>
    <row r="155" spans="1:29" s="17" customFormat="1" x14ac:dyDescent="0.35">
      <c r="A155" s="21"/>
      <c r="B155" s="21"/>
      <c r="D155" s="21" t="s">
        <v>75</v>
      </c>
      <c r="E155" s="21" t="s">
        <v>55</v>
      </c>
      <c r="G155" s="17">
        <v>1</v>
      </c>
      <c r="H155" s="93"/>
      <c r="J155" s="17">
        <v>1</v>
      </c>
      <c r="V155"/>
      <c r="W155"/>
      <c r="X155"/>
      <c r="Y155"/>
      <c r="Z155"/>
      <c r="AA155"/>
      <c r="AB155"/>
      <c r="AC155"/>
    </row>
    <row r="156" spans="1:29" s="17" customFormat="1" x14ac:dyDescent="0.35">
      <c r="A156" s="21"/>
      <c r="B156" s="21"/>
      <c r="D156" s="21" t="s">
        <v>750</v>
      </c>
      <c r="E156" s="21" t="s">
        <v>751</v>
      </c>
      <c r="G156" s="17">
        <v>24</v>
      </c>
      <c r="H156" s="93"/>
      <c r="V156"/>
      <c r="W156"/>
      <c r="X156"/>
      <c r="Y156"/>
      <c r="Z156"/>
      <c r="AA156"/>
      <c r="AB156"/>
      <c r="AC156"/>
    </row>
    <row r="157" spans="1:29" s="17" customFormat="1" x14ac:dyDescent="0.35">
      <c r="A157" s="21"/>
      <c r="B157" s="21"/>
      <c r="D157" s="21" t="s">
        <v>262</v>
      </c>
      <c r="E157" s="21" t="s">
        <v>263</v>
      </c>
      <c r="G157" s="17">
        <v>1</v>
      </c>
      <c r="H157" s="93"/>
      <c r="J157" s="17">
        <v>1</v>
      </c>
      <c r="V157"/>
      <c r="W157"/>
      <c r="X157"/>
      <c r="Y157"/>
      <c r="Z157"/>
      <c r="AA157"/>
      <c r="AB157"/>
      <c r="AC157"/>
    </row>
    <row r="158" spans="1:29" s="49" customFormat="1" ht="21.75" thickBot="1" x14ac:dyDescent="0.4">
      <c r="A158" s="48"/>
      <c r="B158" s="48"/>
      <c r="D158" s="48" t="s">
        <v>111</v>
      </c>
      <c r="E158" s="48" t="s">
        <v>117</v>
      </c>
      <c r="G158" s="49">
        <v>1</v>
      </c>
      <c r="H158" s="94"/>
      <c r="V158" s="76"/>
      <c r="W158" s="76"/>
      <c r="X158" s="76"/>
      <c r="Y158" s="76"/>
      <c r="Z158" s="76"/>
      <c r="AA158" s="76"/>
      <c r="AB158" s="76"/>
      <c r="AC158" s="76"/>
    </row>
    <row r="159" spans="1:29" s="17" customFormat="1" x14ac:dyDescent="0.35">
      <c r="A159" s="21" t="s">
        <v>753</v>
      </c>
      <c r="B159" s="21"/>
      <c r="C159" s="50">
        <v>5049</v>
      </c>
      <c r="D159" s="21" t="s">
        <v>912</v>
      </c>
      <c r="E159" s="21" t="s">
        <v>913</v>
      </c>
      <c r="G159" s="17">
        <v>1</v>
      </c>
      <c r="H159" s="93">
        <v>46195</v>
      </c>
      <c r="J159" s="17">
        <v>0.5</v>
      </c>
      <c r="V159"/>
      <c r="W159"/>
      <c r="X159"/>
      <c r="Y159"/>
      <c r="Z159"/>
      <c r="AA159"/>
      <c r="AB159"/>
      <c r="AC159"/>
    </row>
    <row r="160" spans="1:29" s="17" customFormat="1" x14ac:dyDescent="0.35">
      <c r="A160" s="21"/>
      <c r="B160" s="21"/>
      <c r="D160" s="21" t="s">
        <v>141</v>
      </c>
      <c r="E160" s="21" t="s">
        <v>151</v>
      </c>
      <c r="F160" s="17" t="s">
        <v>757</v>
      </c>
      <c r="G160" s="17">
        <v>1</v>
      </c>
      <c r="H160" s="93"/>
      <c r="J160" s="17">
        <v>1</v>
      </c>
      <c r="V160"/>
      <c r="W160"/>
      <c r="X160"/>
      <c r="Y160"/>
      <c r="Z160"/>
      <c r="AA160"/>
      <c r="AB160"/>
      <c r="AC160"/>
    </row>
    <row r="161" spans="1:29" s="17" customFormat="1" x14ac:dyDescent="0.35">
      <c r="A161" s="21"/>
      <c r="B161" s="21"/>
      <c r="D161" s="21" t="s">
        <v>77</v>
      </c>
      <c r="E161" s="21" t="s">
        <v>20</v>
      </c>
      <c r="G161" s="17">
        <v>1</v>
      </c>
      <c r="H161" s="93"/>
      <c r="V161"/>
      <c r="W161"/>
      <c r="X161"/>
      <c r="Y161"/>
      <c r="Z161"/>
      <c r="AA161"/>
      <c r="AB161"/>
      <c r="AC161"/>
    </row>
    <row r="162" spans="1:29" s="17" customFormat="1" x14ac:dyDescent="0.35">
      <c r="A162" s="21"/>
      <c r="B162" s="21"/>
      <c r="D162" s="21" t="s">
        <v>83</v>
      </c>
      <c r="E162" s="21" t="s">
        <v>12</v>
      </c>
      <c r="G162" s="17">
        <v>1</v>
      </c>
      <c r="H162" s="93"/>
      <c r="V162"/>
      <c r="W162"/>
      <c r="X162"/>
      <c r="Y162"/>
      <c r="Z162"/>
      <c r="AA162"/>
      <c r="AB162"/>
      <c r="AC162"/>
    </row>
    <row r="163" spans="1:29" s="17" customFormat="1" x14ac:dyDescent="0.35">
      <c r="A163" s="21"/>
      <c r="B163" s="21"/>
      <c r="D163" s="21" t="s">
        <v>84</v>
      </c>
      <c r="E163" s="21" t="s">
        <v>13</v>
      </c>
      <c r="G163" s="17">
        <v>1</v>
      </c>
      <c r="H163" s="93"/>
      <c r="V163"/>
      <c r="W163"/>
      <c r="X163"/>
      <c r="Y163"/>
      <c r="Z163"/>
      <c r="AA163"/>
      <c r="AB163"/>
      <c r="AC163"/>
    </row>
    <row r="164" spans="1:29" s="17" customFormat="1" x14ac:dyDescent="0.35">
      <c r="A164" s="21"/>
      <c r="B164" s="21"/>
      <c r="D164" s="21" t="s">
        <v>93</v>
      </c>
      <c r="E164" s="21" t="s">
        <v>14</v>
      </c>
      <c r="G164" s="17">
        <v>1</v>
      </c>
      <c r="H164" s="93"/>
      <c r="J164" s="17">
        <v>1</v>
      </c>
      <c r="V164"/>
      <c r="W164"/>
      <c r="X164"/>
      <c r="Y164"/>
      <c r="Z164"/>
      <c r="AA164"/>
      <c r="AB164"/>
      <c r="AC164"/>
    </row>
    <row r="165" spans="1:29" s="17" customFormat="1" x14ac:dyDescent="0.35">
      <c r="A165" s="21"/>
      <c r="B165" s="21"/>
      <c r="D165" s="21" t="s">
        <v>123</v>
      </c>
      <c r="E165" s="21" t="s">
        <v>25</v>
      </c>
      <c r="G165" s="17">
        <v>1</v>
      </c>
      <c r="H165" s="93"/>
      <c r="J165" s="17">
        <v>1</v>
      </c>
      <c r="V165"/>
      <c r="W165"/>
      <c r="X165"/>
      <c r="Y165"/>
      <c r="Z165"/>
      <c r="AA165"/>
      <c r="AB165"/>
      <c r="AC165"/>
    </row>
    <row r="166" spans="1:29" s="17" customFormat="1" x14ac:dyDescent="0.35">
      <c r="A166" s="21"/>
      <c r="B166" s="21"/>
      <c r="D166" s="21" t="s">
        <v>87</v>
      </c>
      <c r="E166" s="21" t="s">
        <v>21</v>
      </c>
      <c r="G166" s="17">
        <v>1</v>
      </c>
      <c r="H166" s="93"/>
      <c r="J166" s="17">
        <v>1</v>
      </c>
      <c r="V166"/>
      <c r="W166"/>
      <c r="X166"/>
      <c r="Y166"/>
      <c r="Z166"/>
      <c r="AA166"/>
      <c r="AB166"/>
      <c r="AC166"/>
    </row>
    <row r="167" spans="1:29" s="74" customFormat="1" x14ac:dyDescent="0.35">
      <c r="A167" s="84"/>
      <c r="B167" s="84"/>
      <c r="D167" s="84" t="s">
        <v>75</v>
      </c>
      <c r="E167" s="84" t="s">
        <v>55</v>
      </c>
      <c r="G167" s="74">
        <v>1</v>
      </c>
      <c r="H167" s="99"/>
      <c r="J167" s="74">
        <v>1</v>
      </c>
      <c r="V167"/>
      <c r="W167"/>
      <c r="X167"/>
      <c r="Y167"/>
      <c r="Z167"/>
      <c r="AA167"/>
      <c r="AB167"/>
      <c r="AC167"/>
    </row>
    <row r="168" spans="1:29" s="17" customFormat="1" x14ac:dyDescent="0.35">
      <c r="A168" s="21"/>
      <c r="B168" s="21"/>
      <c r="D168" s="21" t="s">
        <v>81</v>
      </c>
      <c r="E168" s="21" t="s">
        <v>15</v>
      </c>
      <c r="G168" s="17">
        <v>1</v>
      </c>
      <c r="H168" s="98"/>
      <c r="J168" s="17">
        <v>1</v>
      </c>
      <c r="V168" s="70"/>
      <c r="W168" s="70"/>
      <c r="X168" s="70"/>
      <c r="Y168" s="70"/>
      <c r="Z168" s="70"/>
      <c r="AA168" s="70"/>
      <c r="AB168" s="70"/>
      <c r="AC168" s="70"/>
    </row>
    <row r="169" spans="1:29" s="81" customFormat="1" ht="21.75" thickBot="1" x14ac:dyDescent="0.4">
      <c r="A169" s="114"/>
      <c r="B169" s="114"/>
      <c r="D169" s="114"/>
      <c r="E169" s="114"/>
      <c r="H169" s="115"/>
      <c r="V169" s="76"/>
      <c r="W169" s="76"/>
      <c r="X169" s="76"/>
      <c r="Y169" s="76"/>
      <c r="Z169" s="76"/>
      <c r="AA169" s="76"/>
      <c r="AB169" s="76"/>
      <c r="AC169" s="76"/>
    </row>
    <row r="170" spans="1:29" s="47" customFormat="1" x14ac:dyDescent="0.35">
      <c r="A170" s="46" t="s">
        <v>763</v>
      </c>
      <c r="B170" s="46" t="s">
        <v>764</v>
      </c>
      <c r="C170" s="54">
        <v>5052</v>
      </c>
      <c r="D170" s="46" t="s">
        <v>76</v>
      </c>
      <c r="E170" s="46" t="s">
        <v>150</v>
      </c>
      <c r="G170" s="47">
        <v>1</v>
      </c>
      <c r="H170" s="95">
        <v>46196</v>
      </c>
      <c r="J170" s="47">
        <v>0.5</v>
      </c>
      <c r="V170"/>
      <c r="W170"/>
      <c r="X170"/>
      <c r="Y170"/>
      <c r="Z170"/>
      <c r="AA170"/>
      <c r="AB170"/>
      <c r="AC170"/>
    </row>
    <row r="171" spans="1:29" s="17" customFormat="1" x14ac:dyDescent="0.35">
      <c r="A171" s="21"/>
      <c r="B171" s="21"/>
      <c r="D171" s="21" t="s">
        <v>77</v>
      </c>
      <c r="E171" s="21" t="s">
        <v>20</v>
      </c>
      <c r="G171" s="17">
        <v>1</v>
      </c>
      <c r="H171" s="93"/>
      <c r="V171"/>
      <c r="W171"/>
      <c r="X171"/>
      <c r="Y171"/>
      <c r="Z171"/>
      <c r="AA171"/>
      <c r="AB171"/>
      <c r="AC171"/>
    </row>
    <row r="172" spans="1:29" s="17" customFormat="1" x14ac:dyDescent="0.35">
      <c r="A172" s="21"/>
      <c r="B172" s="21"/>
      <c r="D172" s="21" t="s">
        <v>350</v>
      </c>
      <c r="E172" s="21" t="s">
        <v>765</v>
      </c>
      <c r="F172" s="17" t="s">
        <v>705</v>
      </c>
      <c r="G172" s="17">
        <v>1</v>
      </c>
      <c r="H172" s="93"/>
      <c r="V172"/>
      <c r="W172"/>
      <c r="X172"/>
      <c r="Y172"/>
      <c r="Z172"/>
      <c r="AA172"/>
      <c r="AB172"/>
      <c r="AC172"/>
    </row>
    <row r="173" spans="1:29" s="17" customFormat="1" x14ac:dyDescent="0.35">
      <c r="A173" s="21"/>
      <c r="B173" s="21"/>
      <c r="D173" s="21" t="s">
        <v>87</v>
      </c>
      <c r="E173" s="21" t="s">
        <v>21</v>
      </c>
      <c r="G173" s="17">
        <v>1</v>
      </c>
      <c r="H173" s="93"/>
      <c r="I173" s="17">
        <v>2</v>
      </c>
      <c r="J173" s="17">
        <v>1</v>
      </c>
      <c r="V173"/>
      <c r="W173"/>
      <c r="X173"/>
      <c r="Y173"/>
      <c r="Z173"/>
      <c r="AA173"/>
      <c r="AB173"/>
      <c r="AC173"/>
    </row>
    <row r="174" spans="1:29" s="17" customFormat="1" x14ac:dyDescent="0.35">
      <c r="A174" s="21"/>
      <c r="B174" s="21"/>
      <c r="D174" s="21" t="s">
        <v>79</v>
      </c>
      <c r="E174" s="21" t="s">
        <v>73</v>
      </c>
      <c r="G174" s="17">
        <v>1</v>
      </c>
      <c r="H174" s="93"/>
      <c r="I174" s="17">
        <v>2</v>
      </c>
      <c r="J174" s="17">
        <v>1</v>
      </c>
      <c r="V174"/>
      <c r="W174"/>
      <c r="X174"/>
      <c r="Y174"/>
      <c r="Z174"/>
      <c r="AA174"/>
      <c r="AB174"/>
      <c r="AC174"/>
    </row>
    <row r="175" spans="1:29" s="17" customFormat="1" x14ac:dyDescent="0.35">
      <c r="A175" s="21"/>
      <c r="B175" s="21"/>
      <c r="D175" s="21" t="s">
        <v>75</v>
      </c>
      <c r="E175" s="21" t="s">
        <v>55</v>
      </c>
      <c r="G175" s="17">
        <v>1</v>
      </c>
      <c r="H175" s="93"/>
      <c r="J175" s="17">
        <v>1</v>
      </c>
      <c r="V175"/>
      <c r="W175"/>
      <c r="X175"/>
      <c r="Y175"/>
      <c r="Z175"/>
      <c r="AA175"/>
      <c r="AB175"/>
      <c r="AC175"/>
    </row>
    <row r="176" spans="1:29" s="74" customFormat="1" x14ac:dyDescent="0.35">
      <c r="A176" s="84"/>
      <c r="B176" s="84"/>
      <c r="D176" s="84" t="s">
        <v>81</v>
      </c>
      <c r="E176" s="84" t="s">
        <v>15</v>
      </c>
      <c r="G176" s="74">
        <v>1</v>
      </c>
      <c r="H176" s="99"/>
      <c r="J176" s="74">
        <v>1</v>
      </c>
      <c r="V176"/>
      <c r="W176"/>
      <c r="X176"/>
      <c r="Y176"/>
      <c r="Z176"/>
      <c r="AA176"/>
      <c r="AB176"/>
      <c r="AC176"/>
    </row>
    <row r="177" spans="1:29" s="17" customFormat="1" x14ac:dyDescent="0.35">
      <c r="A177" s="21"/>
      <c r="B177" s="21"/>
      <c r="D177" s="21" t="s">
        <v>96</v>
      </c>
      <c r="E177" s="21" t="s">
        <v>139</v>
      </c>
      <c r="G177" s="17">
        <v>24</v>
      </c>
      <c r="H177" s="98"/>
      <c r="V177" s="70"/>
      <c r="W177" s="70"/>
      <c r="X177" s="70"/>
      <c r="Y177" s="70"/>
      <c r="Z177" s="70"/>
      <c r="AA177" s="70"/>
      <c r="AB177" s="70"/>
      <c r="AC177" s="70"/>
    </row>
    <row r="178" spans="1:29" s="81" customFormat="1" ht="21.75" thickBot="1" x14ac:dyDescent="0.4">
      <c r="A178" s="114"/>
      <c r="B178" s="114"/>
      <c r="D178" s="114"/>
      <c r="E178" s="114"/>
      <c r="H178" s="115"/>
      <c r="V178" s="76"/>
      <c r="W178" s="76"/>
      <c r="X178" s="76"/>
      <c r="Y178" s="76"/>
      <c r="Z178" s="76"/>
      <c r="AA178" s="76"/>
      <c r="AB178" s="76"/>
      <c r="AC178" s="76"/>
    </row>
    <row r="179" spans="1:29" s="47" customFormat="1" x14ac:dyDescent="0.35">
      <c r="A179" s="46" t="s">
        <v>743</v>
      </c>
      <c r="B179" s="46" t="s">
        <v>286</v>
      </c>
      <c r="C179" s="53">
        <v>5053</v>
      </c>
      <c r="D179" s="46" t="s">
        <v>76</v>
      </c>
      <c r="E179" s="46" t="s">
        <v>150</v>
      </c>
      <c r="G179" s="47">
        <v>3</v>
      </c>
      <c r="H179" s="95"/>
      <c r="J179" s="47">
        <v>0.5</v>
      </c>
      <c r="L179" s="47">
        <v>0.5</v>
      </c>
      <c r="M179" s="47">
        <v>0.5</v>
      </c>
      <c r="V179"/>
      <c r="W179"/>
      <c r="X179"/>
      <c r="Y179"/>
      <c r="Z179"/>
      <c r="AA179"/>
      <c r="AB179"/>
      <c r="AC179"/>
    </row>
    <row r="180" spans="1:29" s="17" customFormat="1" x14ac:dyDescent="0.35">
      <c r="A180" s="21"/>
      <c r="B180" s="21"/>
      <c r="D180" s="21" t="s">
        <v>106</v>
      </c>
      <c r="E180" s="21" t="s">
        <v>69</v>
      </c>
      <c r="G180" s="17">
        <v>3</v>
      </c>
      <c r="H180" s="93"/>
      <c r="J180" s="17">
        <v>1</v>
      </c>
      <c r="L180" s="17">
        <v>1</v>
      </c>
      <c r="M180" s="17">
        <v>1</v>
      </c>
      <c r="V180"/>
      <c r="W180"/>
      <c r="X180"/>
      <c r="Y180"/>
      <c r="Z180"/>
      <c r="AA180"/>
      <c r="AB180"/>
      <c r="AC180"/>
    </row>
    <row r="181" spans="1:29" s="17" customFormat="1" x14ac:dyDescent="0.35">
      <c r="A181" s="21"/>
      <c r="B181" s="21"/>
      <c r="D181" s="21" t="s">
        <v>77</v>
      </c>
      <c r="E181" s="21" t="s">
        <v>20</v>
      </c>
      <c r="F181" s="17" t="s">
        <v>771</v>
      </c>
      <c r="G181" s="17">
        <v>3</v>
      </c>
      <c r="H181" s="93"/>
      <c r="V181"/>
      <c r="W181"/>
      <c r="X181"/>
      <c r="Y181"/>
      <c r="Z181"/>
      <c r="AA181"/>
      <c r="AB181"/>
      <c r="AC181"/>
    </row>
    <row r="182" spans="1:29" s="17" customFormat="1" x14ac:dyDescent="0.35">
      <c r="A182" s="21"/>
      <c r="B182" s="21"/>
      <c r="D182" s="21" t="s">
        <v>91</v>
      </c>
      <c r="E182" s="21" t="s">
        <v>27</v>
      </c>
      <c r="G182" s="17">
        <v>3</v>
      </c>
      <c r="H182" s="93"/>
      <c r="V182"/>
      <c r="W182"/>
      <c r="X182"/>
      <c r="Y182"/>
      <c r="Z182"/>
      <c r="AA182"/>
      <c r="AB182"/>
      <c r="AC182"/>
    </row>
    <row r="183" spans="1:29" s="17" customFormat="1" x14ac:dyDescent="0.35">
      <c r="A183" s="21"/>
      <c r="B183" s="21"/>
      <c r="D183" s="21" t="s">
        <v>83</v>
      </c>
      <c r="E183" s="21" t="s">
        <v>12</v>
      </c>
      <c r="G183" s="17">
        <v>3</v>
      </c>
      <c r="H183" s="93"/>
      <c r="V183"/>
      <c r="W183"/>
      <c r="X183"/>
      <c r="Y183"/>
      <c r="Z183"/>
      <c r="AA183"/>
      <c r="AB183"/>
      <c r="AC183"/>
    </row>
    <row r="184" spans="1:29" s="17" customFormat="1" x14ac:dyDescent="0.35">
      <c r="A184" s="21"/>
      <c r="B184" s="21"/>
      <c r="D184" s="21" t="s">
        <v>84</v>
      </c>
      <c r="E184" s="21" t="s">
        <v>13</v>
      </c>
      <c r="G184" s="17">
        <v>3</v>
      </c>
      <c r="H184" s="93"/>
      <c r="V184"/>
      <c r="W184"/>
      <c r="X184"/>
      <c r="Y184"/>
      <c r="Z184"/>
      <c r="AA184"/>
      <c r="AB184"/>
      <c r="AC184"/>
    </row>
    <row r="185" spans="1:29" s="17" customFormat="1" x14ac:dyDescent="0.35">
      <c r="A185" s="21"/>
      <c r="B185" s="21"/>
      <c r="D185" s="21" t="s">
        <v>78</v>
      </c>
      <c r="E185" s="21" t="s">
        <v>16</v>
      </c>
      <c r="G185" s="17">
        <v>3</v>
      </c>
      <c r="H185" s="93"/>
      <c r="V185"/>
      <c r="W185"/>
      <c r="X185"/>
      <c r="Y185"/>
      <c r="Z185"/>
      <c r="AA185"/>
      <c r="AB185"/>
      <c r="AC185"/>
    </row>
    <row r="186" spans="1:29" s="17" customFormat="1" x14ac:dyDescent="0.35">
      <c r="A186" s="21"/>
      <c r="B186" s="21"/>
      <c r="D186" s="21" t="s">
        <v>92</v>
      </c>
      <c r="E186" s="21" t="s">
        <v>51</v>
      </c>
      <c r="G186" s="17">
        <v>3</v>
      </c>
      <c r="H186" s="93"/>
      <c r="V186"/>
      <c r="W186"/>
      <c r="X186"/>
      <c r="Y186"/>
      <c r="Z186"/>
      <c r="AA186"/>
      <c r="AB186"/>
      <c r="AC186"/>
    </row>
    <row r="187" spans="1:29" s="17" customFormat="1" x14ac:dyDescent="0.35">
      <c r="A187" s="21"/>
      <c r="B187" s="21"/>
      <c r="D187" s="21" t="s">
        <v>93</v>
      </c>
      <c r="E187" s="21" t="s">
        <v>14</v>
      </c>
      <c r="G187" s="17">
        <v>3</v>
      </c>
      <c r="H187" s="93"/>
      <c r="J187" s="17">
        <v>1</v>
      </c>
      <c r="L187" s="17">
        <v>1</v>
      </c>
      <c r="M187" s="17">
        <v>1</v>
      </c>
      <c r="V187"/>
      <c r="W187"/>
      <c r="X187"/>
      <c r="Y187"/>
      <c r="Z187"/>
      <c r="AA187"/>
      <c r="AB187"/>
      <c r="AC187"/>
    </row>
    <row r="188" spans="1:29" s="17" customFormat="1" x14ac:dyDescent="0.35">
      <c r="A188" s="21"/>
      <c r="B188" s="21"/>
      <c r="D188" s="21" t="s">
        <v>99</v>
      </c>
      <c r="E188" s="21" t="s">
        <v>766</v>
      </c>
      <c r="G188" s="17">
        <v>3</v>
      </c>
      <c r="H188" s="93"/>
      <c r="J188" s="17">
        <v>1</v>
      </c>
      <c r="L188" s="17">
        <v>1</v>
      </c>
      <c r="M188" s="17">
        <v>1</v>
      </c>
      <c r="V188"/>
      <c r="W188"/>
      <c r="X188"/>
      <c r="Y188"/>
      <c r="Z188"/>
      <c r="AA188"/>
      <c r="AB188"/>
      <c r="AC188"/>
    </row>
    <row r="189" spans="1:29" s="17" customFormat="1" x14ac:dyDescent="0.35">
      <c r="A189" s="21"/>
      <c r="B189" s="21"/>
      <c r="D189" s="21" t="s">
        <v>87</v>
      </c>
      <c r="E189" s="21" t="s">
        <v>21</v>
      </c>
      <c r="G189" s="17">
        <v>3</v>
      </c>
      <c r="H189" s="93"/>
      <c r="J189" s="17">
        <v>1</v>
      </c>
      <c r="L189" s="17">
        <v>1</v>
      </c>
      <c r="M189" s="17">
        <v>1</v>
      </c>
      <c r="V189"/>
      <c r="W189"/>
      <c r="X189"/>
      <c r="Y189"/>
      <c r="Z189"/>
      <c r="AA189"/>
      <c r="AB189"/>
      <c r="AC189"/>
    </row>
    <row r="190" spans="1:29" s="17" customFormat="1" x14ac:dyDescent="0.35">
      <c r="A190" s="21"/>
      <c r="B190" s="21"/>
      <c r="D190" s="21" t="s">
        <v>131</v>
      </c>
      <c r="E190" s="21" t="s">
        <v>72</v>
      </c>
      <c r="G190" s="17">
        <v>6</v>
      </c>
      <c r="H190" s="93"/>
      <c r="J190" s="17">
        <v>1</v>
      </c>
      <c r="L190" s="17">
        <v>1</v>
      </c>
      <c r="M190" s="17">
        <v>1</v>
      </c>
      <c r="V190"/>
      <c r="W190"/>
      <c r="X190"/>
      <c r="Y190"/>
      <c r="Z190"/>
      <c r="AA190"/>
      <c r="AB190"/>
      <c r="AC190"/>
    </row>
    <row r="191" spans="1:29" s="17" customFormat="1" x14ac:dyDescent="0.35">
      <c r="A191" s="21"/>
      <c r="B191" s="21"/>
      <c r="D191" s="21" t="s">
        <v>81</v>
      </c>
      <c r="E191" s="21" t="s">
        <v>15</v>
      </c>
      <c r="G191" s="17">
        <v>3</v>
      </c>
      <c r="H191" s="93"/>
      <c r="J191" s="17">
        <v>1</v>
      </c>
      <c r="L191" s="17">
        <v>1</v>
      </c>
      <c r="M191" s="17">
        <v>1</v>
      </c>
      <c r="V191"/>
      <c r="W191"/>
      <c r="X191"/>
      <c r="Y191"/>
      <c r="Z191"/>
      <c r="AA191"/>
      <c r="AB191"/>
      <c r="AC191"/>
    </row>
    <row r="192" spans="1:29" s="17" customFormat="1" x14ac:dyDescent="0.35">
      <c r="A192" s="21"/>
      <c r="B192" s="21"/>
      <c r="D192" s="21" t="s">
        <v>94</v>
      </c>
      <c r="E192" s="21" t="s">
        <v>18</v>
      </c>
      <c r="G192" s="17">
        <v>72</v>
      </c>
      <c r="H192" s="93"/>
      <c r="V192"/>
      <c r="W192"/>
      <c r="X192"/>
      <c r="Y192"/>
      <c r="Z192"/>
      <c r="AA192"/>
      <c r="AB192"/>
      <c r="AC192"/>
    </row>
    <row r="193" spans="1:29" s="17" customFormat="1" x14ac:dyDescent="0.35">
      <c r="A193" s="21"/>
      <c r="B193" s="21"/>
      <c r="D193" s="21" t="s">
        <v>212</v>
      </c>
      <c r="E193" s="21" t="s">
        <v>213</v>
      </c>
      <c r="G193" s="17">
        <v>3</v>
      </c>
      <c r="H193" s="93"/>
      <c r="V193"/>
      <c r="W193"/>
      <c r="X193"/>
      <c r="Y193"/>
      <c r="Z193"/>
      <c r="AA193"/>
      <c r="AB193"/>
      <c r="AC193"/>
    </row>
    <row r="194" spans="1:29" s="17" customFormat="1" x14ac:dyDescent="0.35">
      <c r="A194" s="21"/>
      <c r="B194" s="21"/>
      <c r="D194" s="21" t="s">
        <v>322</v>
      </c>
      <c r="E194" s="21" t="s">
        <v>323</v>
      </c>
      <c r="G194" s="17">
        <v>6</v>
      </c>
      <c r="H194" s="93"/>
      <c r="V194"/>
      <c r="W194"/>
      <c r="X194"/>
      <c r="Y194"/>
      <c r="Z194"/>
      <c r="AA194"/>
      <c r="AB194"/>
      <c r="AC194"/>
    </row>
    <row r="195" spans="1:29" s="17" customFormat="1" x14ac:dyDescent="0.35">
      <c r="A195" s="21"/>
      <c r="B195" s="21"/>
      <c r="D195" s="21" t="s">
        <v>767</v>
      </c>
      <c r="E195" s="21" t="s">
        <v>768</v>
      </c>
      <c r="G195" s="17">
        <v>6</v>
      </c>
      <c r="H195" s="93"/>
      <c r="V195"/>
      <c r="W195"/>
      <c r="X195"/>
      <c r="Y195"/>
      <c r="Z195"/>
      <c r="AA195"/>
      <c r="AB195"/>
      <c r="AC195"/>
    </row>
    <row r="196" spans="1:29" s="17" customFormat="1" x14ac:dyDescent="0.35">
      <c r="A196" s="21"/>
      <c r="B196" s="21"/>
      <c r="D196" s="21" t="s">
        <v>116</v>
      </c>
      <c r="E196" s="21" t="s">
        <v>122</v>
      </c>
      <c r="G196" s="17">
        <v>3</v>
      </c>
      <c r="H196" s="93"/>
      <c r="V196"/>
      <c r="W196"/>
      <c r="X196"/>
      <c r="Y196"/>
      <c r="Z196"/>
      <c r="AA196"/>
      <c r="AB196"/>
      <c r="AC196"/>
    </row>
    <row r="197" spans="1:29" s="17" customFormat="1" x14ac:dyDescent="0.35">
      <c r="A197" s="21"/>
      <c r="B197" s="21"/>
      <c r="D197" s="21" t="s">
        <v>95</v>
      </c>
      <c r="E197" s="21" t="s">
        <v>71</v>
      </c>
      <c r="G197" s="17">
        <v>3</v>
      </c>
      <c r="H197" s="93"/>
      <c r="V197"/>
      <c r="W197"/>
      <c r="X197"/>
      <c r="Y197"/>
      <c r="Z197"/>
      <c r="AA197"/>
      <c r="AB197"/>
      <c r="AC197"/>
    </row>
    <row r="198" spans="1:29" s="17" customFormat="1" x14ac:dyDescent="0.35">
      <c r="A198" s="21"/>
      <c r="B198" s="21"/>
      <c r="D198" s="21" t="s">
        <v>239</v>
      </c>
      <c r="E198" s="21" t="s">
        <v>240</v>
      </c>
      <c r="G198" s="17">
        <v>6</v>
      </c>
      <c r="H198" s="93"/>
      <c r="V198"/>
      <c r="W198"/>
      <c r="X198"/>
      <c r="Y198"/>
      <c r="Z198"/>
      <c r="AA198"/>
      <c r="AB198"/>
      <c r="AC198"/>
    </row>
    <row r="199" spans="1:29" s="17" customFormat="1" x14ac:dyDescent="0.35">
      <c r="A199" s="21"/>
      <c r="B199" s="21"/>
      <c r="D199" s="21" t="s">
        <v>256</v>
      </c>
      <c r="E199" s="21" t="s">
        <v>257</v>
      </c>
      <c r="G199" s="17">
        <v>3</v>
      </c>
      <c r="H199" s="93"/>
      <c r="V199"/>
      <c r="W199"/>
      <c r="X199"/>
      <c r="Y199"/>
      <c r="Z199"/>
      <c r="AA199"/>
      <c r="AB199"/>
      <c r="AC199"/>
    </row>
    <row r="200" spans="1:29" s="17" customFormat="1" x14ac:dyDescent="0.35">
      <c r="A200" s="21"/>
      <c r="B200" s="21"/>
      <c r="D200" s="21" t="s">
        <v>113</v>
      </c>
      <c r="E200" s="21" t="s">
        <v>119</v>
      </c>
      <c r="G200" s="17">
        <v>3</v>
      </c>
      <c r="H200" s="93"/>
      <c r="V200"/>
      <c r="W200"/>
      <c r="X200"/>
      <c r="Y200"/>
      <c r="Z200"/>
      <c r="AA200"/>
      <c r="AB200"/>
      <c r="AC200"/>
    </row>
    <row r="201" spans="1:29" s="17" customFormat="1" x14ac:dyDescent="0.35">
      <c r="A201" s="21"/>
      <c r="B201" s="21"/>
      <c r="D201" s="21" t="s">
        <v>115</v>
      </c>
      <c r="E201" s="21" t="s">
        <v>121</v>
      </c>
      <c r="G201" s="17">
        <v>3</v>
      </c>
      <c r="H201" s="93"/>
      <c r="V201"/>
      <c r="W201"/>
      <c r="X201"/>
      <c r="Y201"/>
      <c r="Z201"/>
      <c r="AA201"/>
      <c r="AB201"/>
      <c r="AC201"/>
    </row>
    <row r="202" spans="1:29" s="17" customFormat="1" x14ac:dyDescent="0.35">
      <c r="A202" s="21"/>
      <c r="B202" s="21"/>
      <c r="D202" s="21" t="s">
        <v>310</v>
      </c>
      <c r="E202" s="21" t="s">
        <v>311</v>
      </c>
      <c r="G202" s="17">
        <v>3</v>
      </c>
      <c r="H202" s="93"/>
      <c r="V202"/>
      <c r="W202"/>
      <c r="X202"/>
      <c r="Y202"/>
      <c r="Z202"/>
      <c r="AA202"/>
      <c r="AB202"/>
      <c r="AC202"/>
    </row>
    <row r="203" spans="1:29" s="17" customFormat="1" x14ac:dyDescent="0.35">
      <c r="A203" s="21"/>
      <c r="B203" s="21"/>
      <c r="D203" s="21" t="s">
        <v>769</v>
      </c>
      <c r="E203" s="21" t="s">
        <v>770</v>
      </c>
      <c r="G203" s="17">
        <v>3</v>
      </c>
      <c r="H203" s="93"/>
      <c r="V203"/>
      <c r="W203"/>
      <c r="X203"/>
      <c r="Y203"/>
      <c r="Z203"/>
      <c r="AA203"/>
      <c r="AB203"/>
      <c r="AC203"/>
    </row>
    <row r="204" spans="1:29" s="17" customFormat="1" x14ac:dyDescent="0.35">
      <c r="A204" s="21"/>
      <c r="B204" s="21"/>
      <c r="D204" s="21" t="s">
        <v>324</v>
      </c>
      <c r="E204" s="21" t="s">
        <v>325</v>
      </c>
      <c r="G204" s="17">
        <v>3</v>
      </c>
      <c r="H204" s="93"/>
      <c r="V204"/>
      <c r="W204"/>
      <c r="X204"/>
      <c r="Y204"/>
      <c r="Z204"/>
      <c r="AA204"/>
      <c r="AB204"/>
      <c r="AC204"/>
    </row>
    <row r="205" spans="1:29" s="49" customFormat="1" ht="21.75" thickBot="1" x14ac:dyDescent="0.4">
      <c r="A205" s="48"/>
      <c r="B205" s="48"/>
      <c r="D205" s="48"/>
      <c r="E205" s="48"/>
      <c r="H205" s="94"/>
      <c r="V205" s="76"/>
      <c r="W205" s="76"/>
      <c r="X205" s="76"/>
      <c r="Y205" s="76"/>
      <c r="Z205" s="76"/>
      <c r="AA205" s="76"/>
      <c r="AB205" s="76"/>
      <c r="AC205" s="76"/>
    </row>
    <row r="206" spans="1:29" s="17" customFormat="1" x14ac:dyDescent="0.35">
      <c r="A206" s="21" t="s">
        <v>775</v>
      </c>
      <c r="B206" s="21" t="s">
        <v>220</v>
      </c>
      <c r="C206" s="17">
        <v>5054</v>
      </c>
      <c r="D206" s="21" t="s">
        <v>161</v>
      </c>
      <c r="E206" s="21" t="s">
        <v>162</v>
      </c>
      <c r="F206" s="110" t="s">
        <v>219</v>
      </c>
      <c r="G206" s="17">
        <v>8</v>
      </c>
      <c r="H206" s="93">
        <v>46196</v>
      </c>
      <c r="V206"/>
      <c r="W206"/>
      <c r="X206"/>
      <c r="Y206"/>
      <c r="Z206"/>
      <c r="AA206"/>
      <c r="AB206"/>
      <c r="AC206"/>
    </row>
    <row r="207" spans="1:29" s="49" customFormat="1" ht="21.75" thickBot="1" x14ac:dyDescent="0.4">
      <c r="A207" s="48"/>
      <c r="B207" s="48"/>
      <c r="D207" s="48"/>
      <c r="E207" s="48"/>
      <c r="H207" s="94"/>
      <c r="V207" s="76"/>
      <c r="W207" s="76"/>
      <c r="X207" s="76"/>
      <c r="Y207" s="76"/>
      <c r="Z207" s="76"/>
      <c r="AA207" s="76"/>
      <c r="AB207" s="76"/>
      <c r="AC207" s="76"/>
    </row>
    <row r="208" spans="1:29" s="47" customFormat="1" x14ac:dyDescent="0.35">
      <c r="A208" s="46" t="s">
        <v>776</v>
      </c>
      <c r="B208" s="46" t="s">
        <v>777</v>
      </c>
      <c r="C208" s="53">
        <v>5055</v>
      </c>
      <c r="D208" s="46" t="s">
        <v>217</v>
      </c>
      <c r="E208" s="46" t="s">
        <v>218</v>
      </c>
      <c r="F208" s="47" t="s">
        <v>778</v>
      </c>
      <c r="G208" s="47">
        <v>1</v>
      </c>
      <c r="H208" s="95">
        <v>46197</v>
      </c>
      <c r="V208"/>
      <c r="W208"/>
      <c r="X208"/>
      <c r="Y208"/>
      <c r="Z208"/>
      <c r="AA208"/>
      <c r="AB208"/>
      <c r="AC208"/>
    </row>
    <row r="209" spans="1:29" s="17" customFormat="1" x14ac:dyDescent="0.35">
      <c r="A209" s="21"/>
      <c r="B209" s="21"/>
      <c r="D209" s="21" t="s">
        <v>84</v>
      </c>
      <c r="E209" s="21" t="s">
        <v>13</v>
      </c>
      <c r="G209" s="17">
        <v>1</v>
      </c>
      <c r="H209" s="93"/>
      <c r="V209"/>
      <c r="W209"/>
      <c r="X209"/>
      <c r="Y209"/>
      <c r="Z209"/>
      <c r="AA209"/>
      <c r="AB209"/>
      <c r="AC209"/>
    </row>
    <row r="210" spans="1:29" s="17" customFormat="1" x14ac:dyDescent="0.35">
      <c r="A210" s="21"/>
      <c r="B210" s="21"/>
      <c r="D210" s="21" t="s">
        <v>276</v>
      </c>
      <c r="E210" s="21" t="s">
        <v>277</v>
      </c>
      <c r="F210" s="110" t="s">
        <v>144</v>
      </c>
      <c r="G210" s="17">
        <v>1</v>
      </c>
      <c r="H210" s="93"/>
      <c r="V210"/>
      <c r="W210"/>
      <c r="X210"/>
      <c r="Y210"/>
      <c r="Z210"/>
      <c r="AA210"/>
      <c r="AB210"/>
      <c r="AC210"/>
    </row>
    <row r="211" spans="1:29" s="17" customFormat="1" x14ac:dyDescent="0.35">
      <c r="A211" s="21"/>
      <c r="B211" s="21"/>
      <c r="D211" s="21" t="s">
        <v>87</v>
      </c>
      <c r="E211" s="21" t="s">
        <v>21</v>
      </c>
      <c r="G211" s="17">
        <v>1</v>
      </c>
      <c r="H211" s="93"/>
      <c r="V211"/>
      <c r="W211"/>
      <c r="X211"/>
      <c r="Y211"/>
      <c r="Z211"/>
      <c r="AA211"/>
      <c r="AB211"/>
      <c r="AC211"/>
    </row>
    <row r="212" spans="1:29" s="17" customFormat="1" x14ac:dyDescent="0.35">
      <c r="A212" s="21"/>
      <c r="B212" s="21"/>
      <c r="D212" s="21" t="s">
        <v>672</v>
      </c>
      <c r="E212" s="21" t="s">
        <v>673</v>
      </c>
      <c r="G212" s="17">
        <v>1</v>
      </c>
      <c r="H212" s="93"/>
      <c r="V212"/>
      <c r="W212"/>
      <c r="X212"/>
      <c r="Y212"/>
      <c r="Z212"/>
      <c r="AA212"/>
      <c r="AB212"/>
      <c r="AC212"/>
    </row>
    <row r="213" spans="1:29" s="49" customFormat="1" ht="21.75" thickBot="1" x14ac:dyDescent="0.4">
      <c r="A213" s="48"/>
      <c r="B213" s="48"/>
      <c r="D213" s="48"/>
      <c r="E213" s="48"/>
      <c r="H213" s="94"/>
      <c r="V213" s="76"/>
      <c r="W213" s="76"/>
      <c r="X213" s="76"/>
      <c r="Y213" s="76"/>
      <c r="Z213" s="76"/>
      <c r="AA213" s="76"/>
      <c r="AB213" s="76"/>
      <c r="AC213" s="76"/>
    </row>
    <row r="214" spans="1:29" s="47" customFormat="1" x14ac:dyDescent="0.35">
      <c r="A214" s="46" t="s">
        <v>776</v>
      </c>
      <c r="B214" s="46" t="s">
        <v>777</v>
      </c>
      <c r="C214" s="53">
        <v>5056</v>
      </c>
      <c r="D214" s="46" t="s">
        <v>84</v>
      </c>
      <c r="E214" s="46" t="s">
        <v>13</v>
      </c>
      <c r="F214" s="47" t="s">
        <v>779</v>
      </c>
      <c r="G214" s="47">
        <v>1</v>
      </c>
      <c r="H214" s="95">
        <v>46197</v>
      </c>
      <c r="V214"/>
      <c r="W214"/>
      <c r="X214"/>
      <c r="Y214"/>
      <c r="Z214"/>
      <c r="AA214"/>
      <c r="AB214"/>
      <c r="AC214"/>
    </row>
    <row r="215" spans="1:29" s="17" customFormat="1" x14ac:dyDescent="0.35">
      <c r="A215" s="21"/>
      <c r="B215" s="21"/>
      <c r="D215" s="21" t="s">
        <v>217</v>
      </c>
      <c r="E215" s="21" t="s">
        <v>218</v>
      </c>
      <c r="F215" s="110" t="s">
        <v>726</v>
      </c>
      <c r="G215" s="17">
        <v>1</v>
      </c>
      <c r="H215" s="93"/>
      <c r="V215"/>
      <c r="W215"/>
      <c r="X215"/>
      <c r="Y215"/>
      <c r="Z215"/>
      <c r="AA215"/>
      <c r="AB215"/>
      <c r="AC215"/>
    </row>
    <row r="216" spans="1:29" s="49" customFormat="1" ht="21.75" thickBot="1" x14ac:dyDescent="0.4">
      <c r="A216" s="48"/>
      <c r="B216" s="48"/>
      <c r="D216" s="48"/>
      <c r="E216" s="48"/>
      <c r="H216" s="94"/>
      <c r="V216" s="76"/>
      <c r="W216" s="76"/>
      <c r="X216" s="76"/>
      <c r="Y216" s="76"/>
      <c r="Z216" s="76"/>
      <c r="AA216" s="76"/>
      <c r="AB216" s="76"/>
      <c r="AC216" s="76"/>
    </row>
    <row r="217" spans="1:29" s="47" customFormat="1" x14ac:dyDescent="0.35">
      <c r="A217" s="46" t="s">
        <v>512</v>
      </c>
      <c r="B217" s="46" t="s">
        <v>306</v>
      </c>
      <c r="C217" s="51">
        <v>5057</v>
      </c>
      <c r="D217" s="46" t="s">
        <v>780</v>
      </c>
      <c r="E217" s="46" t="s">
        <v>781</v>
      </c>
      <c r="F217" s="47" t="s">
        <v>784</v>
      </c>
      <c r="G217" s="47">
        <v>1</v>
      </c>
      <c r="H217" s="95">
        <v>46197</v>
      </c>
      <c r="V217"/>
      <c r="W217"/>
      <c r="X217"/>
      <c r="Y217"/>
      <c r="Z217"/>
      <c r="AA217"/>
      <c r="AB217"/>
      <c r="AC217"/>
    </row>
    <row r="218" spans="1:29" s="17" customFormat="1" x14ac:dyDescent="0.35">
      <c r="A218" s="21"/>
      <c r="B218" s="21"/>
      <c r="D218" s="21" t="s">
        <v>782</v>
      </c>
      <c r="E218" s="21" t="s">
        <v>783</v>
      </c>
      <c r="G218" s="17">
        <v>1</v>
      </c>
      <c r="H218" s="93"/>
      <c r="V218"/>
      <c r="W218"/>
      <c r="X218"/>
      <c r="Y218"/>
      <c r="Z218"/>
      <c r="AA218"/>
      <c r="AB218"/>
      <c r="AC218"/>
    </row>
    <row r="219" spans="1:29" s="17" customFormat="1" x14ac:dyDescent="0.35">
      <c r="A219" s="21"/>
      <c r="B219" s="21"/>
      <c r="D219" s="21" t="s">
        <v>77</v>
      </c>
      <c r="E219" s="21" t="s">
        <v>20</v>
      </c>
      <c r="G219" s="17">
        <v>1</v>
      </c>
      <c r="H219" s="93"/>
      <c r="V219"/>
      <c r="W219"/>
      <c r="X219"/>
      <c r="Y219"/>
      <c r="Z219"/>
      <c r="AA219"/>
      <c r="AB219"/>
      <c r="AC219"/>
    </row>
    <row r="220" spans="1:29" s="17" customFormat="1" x14ac:dyDescent="0.35">
      <c r="A220" s="21"/>
      <c r="B220" s="21"/>
      <c r="D220" s="21" t="s">
        <v>83</v>
      </c>
      <c r="E220" s="21" t="s">
        <v>12</v>
      </c>
      <c r="G220" s="17">
        <v>1</v>
      </c>
      <c r="H220" s="93"/>
      <c r="V220"/>
      <c r="W220"/>
      <c r="X220"/>
      <c r="Y220"/>
      <c r="Z220"/>
      <c r="AA220"/>
      <c r="AB220"/>
      <c r="AC220"/>
    </row>
    <row r="221" spans="1:29" s="17" customFormat="1" x14ac:dyDescent="0.35">
      <c r="A221" s="21"/>
      <c r="B221" s="21"/>
      <c r="D221" s="21" t="s">
        <v>84</v>
      </c>
      <c r="E221" s="21" t="s">
        <v>13</v>
      </c>
      <c r="G221" s="17">
        <v>1</v>
      </c>
      <c r="H221" s="93"/>
      <c r="V221"/>
      <c r="W221"/>
      <c r="X221"/>
      <c r="Y221"/>
      <c r="Z221"/>
      <c r="AA221"/>
      <c r="AB221"/>
      <c r="AC221"/>
    </row>
    <row r="222" spans="1:29" s="17" customFormat="1" x14ac:dyDescent="0.35">
      <c r="A222" s="21"/>
      <c r="B222" s="21"/>
      <c r="D222" s="21" t="s">
        <v>93</v>
      </c>
      <c r="E222" s="21" t="s">
        <v>14</v>
      </c>
      <c r="G222" s="17">
        <v>1</v>
      </c>
      <c r="H222" s="93"/>
      <c r="V222"/>
      <c r="W222"/>
      <c r="X222"/>
      <c r="Y222"/>
      <c r="Z222"/>
      <c r="AA222"/>
      <c r="AB222"/>
      <c r="AC222"/>
    </row>
    <row r="223" spans="1:29" s="17" customFormat="1" x14ac:dyDescent="0.35">
      <c r="A223" s="21"/>
      <c r="B223" s="21"/>
      <c r="D223" s="21" t="s">
        <v>87</v>
      </c>
      <c r="E223" s="21" t="s">
        <v>21</v>
      </c>
      <c r="G223" s="17">
        <v>1</v>
      </c>
      <c r="H223" s="93"/>
      <c r="V223"/>
      <c r="W223"/>
      <c r="X223"/>
      <c r="Y223"/>
      <c r="Z223"/>
      <c r="AA223"/>
      <c r="AB223"/>
      <c r="AC223"/>
    </row>
    <row r="224" spans="1:29" s="17" customFormat="1" x14ac:dyDescent="0.35">
      <c r="A224" s="21"/>
      <c r="B224" s="21"/>
      <c r="D224" s="21" t="s">
        <v>75</v>
      </c>
      <c r="E224" s="21" t="s">
        <v>55</v>
      </c>
      <c r="G224" s="17">
        <v>1</v>
      </c>
      <c r="H224" s="93"/>
      <c r="V224"/>
      <c r="W224"/>
      <c r="X224"/>
      <c r="Y224"/>
      <c r="Z224"/>
      <c r="AA224"/>
      <c r="AB224"/>
      <c r="AC224"/>
    </row>
    <row r="225" spans="1:29" s="17" customFormat="1" x14ac:dyDescent="0.35">
      <c r="A225" s="21"/>
      <c r="B225" s="21"/>
      <c r="D225" s="21" t="s">
        <v>342</v>
      </c>
      <c r="E225" s="21" t="s">
        <v>343</v>
      </c>
      <c r="G225" s="17">
        <v>1</v>
      </c>
      <c r="H225" s="93"/>
      <c r="V225"/>
      <c r="W225"/>
      <c r="X225"/>
      <c r="Y225"/>
      <c r="Z225"/>
      <c r="AA225"/>
      <c r="AB225"/>
      <c r="AC225"/>
    </row>
    <row r="226" spans="1:29" s="17" customFormat="1" x14ac:dyDescent="0.35">
      <c r="A226" s="21"/>
      <c r="B226" s="21"/>
      <c r="D226" s="21" t="s">
        <v>107</v>
      </c>
      <c r="E226" s="21" t="s">
        <v>125</v>
      </c>
      <c r="G226" s="17">
        <v>1</v>
      </c>
      <c r="H226" s="93"/>
      <c r="V226"/>
      <c r="W226"/>
      <c r="X226"/>
      <c r="Y226"/>
      <c r="Z226"/>
      <c r="AA226"/>
      <c r="AB226"/>
      <c r="AC226"/>
    </row>
    <row r="227" spans="1:29" s="17" customFormat="1" x14ac:dyDescent="0.35">
      <c r="A227" s="21"/>
      <c r="B227" s="21"/>
      <c r="D227" s="21" t="s">
        <v>94</v>
      </c>
      <c r="E227" s="21" t="s">
        <v>18</v>
      </c>
      <c r="G227" s="17">
        <v>24</v>
      </c>
      <c r="H227" s="93"/>
      <c r="V227"/>
      <c r="W227"/>
      <c r="X227"/>
      <c r="Y227"/>
      <c r="Z227"/>
      <c r="AA227"/>
      <c r="AB227"/>
      <c r="AC227"/>
    </row>
    <row r="228" spans="1:29" s="49" customFormat="1" ht="21.75" thickBot="1" x14ac:dyDescent="0.4">
      <c r="A228" s="48"/>
      <c r="B228" s="48"/>
      <c r="D228" s="48"/>
      <c r="E228" s="48"/>
      <c r="H228" s="94"/>
      <c r="V228" s="76"/>
      <c r="W228" s="76"/>
      <c r="X228" s="76"/>
      <c r="Y228" s="76"/>
      <c r="Z228" s="76"/>
      <c r="AA228" s="76"/>
      <c r="AB228" s="76"/>
      <c r="AC228" s="76"/>
    </row>
    <row r="229" spans="1:29" s="47" customFormat="1" x14ac:dyDescent="0.35">
      <c r="A229" s="46" t="s">
        <v>74</v>
      </c>
      <c r="B229" s="46" t="s">
        <v>226</v>
      </c>
      <c r="C229" s="47">
        <v>5058</v>
      </c>
      <c r="D229" s="46" t="s">
        <v>78</v>
      </c>
      <c r="E229" s="46" t="s">
        <v>16</v>
      </c>
      <c r="F229" s="47" t="s">
        <v>28</v>
      </c>
      <c r="G229" s="47">
        <v>2</v>
      </c>
      <c r="H229" s="95">
        <v>46197</v>
      </c>
      <c r="V229"/>
      <c r="W229"/>
      <c r="X229"/>
      <c r="Y229"/>
      <c r="Z229"/>
      <c r="AA229"/>
      <c r="AB229"/>
      <c r="AC229"/>
    </row>
    <row r="230" spans="1:29" s="49" customFormat="1" ht="21.75" thickBot="1" x14ac:dyDescent="0.4">
      <c r="A230" s="48"/>
      <c r="B230" s="48"/>
      <c r="D230" s="48"/>
      <c r="E230" s="48"/>
      <c r="H230" s="94"/>
      <c r="V230" s="76"/>
      <c r="W230" s="76"/>
      <c r="X230" s="76"/>
      <c r="Y230" s="76"/>
      <c r="Z230" s="76"/>
      <c r="AA230" s="76"/>
      <c r="AB230" s="76"/>
      <c r="AC230" s="76"/>
    </row>
    <row r="231" spans="1:29" s="47" customFormat="1" x14ac:dyDescent="0.35">
      <c r="A231" s="46" t="s">
        <v>11</v>
      </c>
      <c r="B231" s="46" t="s">
        <v>163</v>
      </c>
      <c r="C231" s="51">
        <v>5059</v>
      </c>
      <c r="D231" s="46" t="s">
        <v>76</v>
      </c>
      <c r="E231" s="46" t="s">
        <v>150</v>
      </c>
      <c r="F231" s="47" t="s">
        <v>785</v>
      </c>
      <c r="G231" s="47">
        <v>3</v>
      </c>
      <c r="H231" s="95">
        <v>46197</v>
      </c>
      <c r="V231"/>
      <c r="W231"/>
      <c r="X231"/>
      <c r="Y231"/>
      <c r="Z231"/>
      <c r="AA231"/>
      <c r="AB231"/>
      <c r="AC231"/>
    </row>
    <row r="232" spans="1:29" s="17" customFormat="1" x14ac:dyDescent="0.35">
      <c r="A232" s="21"/>
      <c r="B232" s="21"/>
      <c r="D232" s="21" t="s">
        <v>77</v>
      </c>
      <c r="E232" s="21" t="s">
        <v>20</v>
      </c>
      <c r="G232" s="17">
        <v>3</v>
      </c>
      <c r="H232" s="93"/>
      <c r="V232"/>
      <c r="W232"/>
      <c r="X232"/>
      <c r="Y232"/>
      <c r="Z232"/>
      <c r="AA232"/>
      <c r="AB232"/>
      <c r="AC232"/>
    </row>
    <row r="233" spans="1:29" s="49" customFormat="1" ht="21.75" thickBot="1" x14ac:dyDescent="0.4">
      <c r="A233" s="48"/>
      <c r="B233" s="48"/>
      <c r="D233" s="48"/>
      <c r="E233" s="48"/>
      <c r="H233" s="94"/>
      <c r="V233" s="76"/>
      <c r="W233" s="76"/>
      <c r="X233" s="76"/>
      <c r="Y233" s="76"/>
      <c r="Z233" s="76"/>
      <c r="AA233" s="76"/>
      <c r="AB233" s="76"/>
      <c r="AC233" s="76"/>
    </row>
    <row r="234" spans="1:29" s="47" customFormat="1" x14ac:dyDescent="0.35">
      <c r="A234" s="46" t="s">
        <v>786</v>
      </c>
      <c r="B234" s="46" t="s">
        <v>787</v>
      </c>
      <c r="C234" s="54">
        <v>5060</v>
      </c>
      <c r="D234" s="46" t="s">
        <v>76</v>
      </c>
      <c r="E234" s="46" t="s">
        <v>150</v>
      </c>
      <c r="F234" s="47" t="s">
        <v>788</v>
      </c>
      <c r="G234" s="47">
        <v>1</v>
      </c>
      <c r="H234" s="95">
        <v>46198</v>
      </c>
      <c r="J234" s="47">
        <v>0.25</v>
      </c>
      <c r="O234" s="47">
        <v>0.25</v>
      </c>
      <c r="V234"/>
      <c r="W234"/>
      <c r="X234"/>
      <c r="Y234"/>
      <c r="Z234"/>
      <c r="AA234"/>
      <c r="AB234"/>
      <c r="AC234"/>
    </row>
    <row r="235" spans="1:29" s="17" customFormat="1" x14ac:dyDescent="0.35">
      <c r="A235" s="21"/>
      <c r="B235" s="21"/>
      <c r="D235" s="21" t="s">
        <v>415</v>
      </c>
      <c r="E235" s="21" t="s">
        <v>416</v>
      </c>
      <c r="G235" s="17">
        <v>1</v>
      </c>
      <c r="H235" s="93"/>
      <c r="J235" s="17">
        <v>0.5</v>
      </c>
      <c r="O235" s="17">
        <v>0.5</v>
      </c>
      <c r="V235"/>
      <c r="W235"/>
      <c r="X235"/>
      <c r="Y235"/>
      <c r="Z235"/>
      <c r="AA235"/>
      <c r="AB235"/>
      <c r="AC235"/>
    </row>
    <row r="236" spans="1:29" s="49" customFormat="1" ht="21.75" thickBot="1" x14ac:dyDescent="0.4">
      <c r="A236" s="48"/>
      <c r="B236" s="48"/>
      <c r="D236" s="48"/>
      <c r="E236" s="48"/>
      <c r="H236" s="94"/>
      <c r="V236" s="76"/>
      <c r="W236" s="76"/>
      <c r="X236" s="76"/>
      <c r="Y236" s="76"/>
      <c r="Z236" s="76"/>
      <c r="AA236" s="76"/>
      <c r="AB236" s="76"/>
      <c r="AC236" s="76"/>
    </row>
    <row r="237" spans="1:29" s="47" customFormat="1" x14ac:dyDescent="0.35">
      <c r="A237" s="46" t="s">
        <v>136</v>
      </c>
      <c r="B237" s="46" t="s">
        <v>789</v>
      </c>
      <c r="C237" s="54">
        <v>5061</v>
      </c>
      <c r="D237" s="46" t="s">
        <v>76</v>
      </c>
      <c r="E237" s="46" t="s">
        <v>150</v>
      </c>
      <c r="F237" s="47" t="s">
        <v>28</v>
      </c>
      <c r="G237" s="47">
        <v>1</v>
      </c>
      <c r="H237" s="95">
        <v>46198</v>
      </c>
      <c r="I237" s="47" t="s">
        <v>928</v>
      </c>
      <c r="L237" s="47">
        <v>0.25</v>
      </c>
      <c r="M237" s="47">
        <v>0.25</v>
      </c>
      <c r="V237"/>
      <c r="W237"/>
      <c r="X237"/>
      <c r="Y237"/>
      <c r="Z237"/>
      <c r="AA237"/>
      <c r="AB237"/>
      <c r="AC237"/>
    </row>
    <row r="238" spans="1:29" s="17" customFormat="1" x14ac:dyDescent="0.35">
      <c r="A238" s="21"/>
      <c r="B238" s="21"/>
      <c r="D238" s="21" t="s">
        <v>80</v>
      </c>
      <c r="E238" s="21" t="s">
        <v>19</v>
      </c>
      <c r="G238" s="17">
        <v>1</v>
      </c>
      <c r="H238" s="93"/>
      <c r="L238" s="17">
        <v>0.5</v>
      </c>
      <c r="M238" s="17">
        <v>0.5</v>
      </c>
      <c r="V238"/>
      <c r="W238"/>
      <c r="X238"/>
      <c r="Y238"/>
      <c r="Z238"/>
      <c r="AA238"/>
      <c r="AB238"/>
      <c r="AC238"/>
    </row>
    <row r="239" spans="1:29" s="17" customFormat="1" x14ac:dyDescent="0.35">
      <c r="A239" s="21"/>
      <c r="B239" s="21"/>
      <c r="D239" s="21" t="s">
        <v>104</v>
      </c>
      <c r="E239" s="21" t="s">
        <v>17</v>
      </c>
      <c r="G239" s="17">
        <v>1</v>
      </c>
      <c r="H239" s="93"/>
      <c r="V239"/>
      <c r="W239"/>
      <c r="X239"/>
      <c r="Y239"/>
      <c r="Z239"/>
      <c r="AA239"/>
      <c r="AB239"/>
      <c r="AC239"/>
    </row>
    <row r="240" spans="1:29" s="17" customFormat="1" x14ac:dyDescent="0.35">
      <c r="A240" s="21"/>
      <c r="B240" s="21"/>
      <c r="D240" s="21" t="s">
        <v>87</v>
      </c>
      <c r="E240" s="21" t="s">
        <v>21</v>
      </c>
      <c r="G240" s="17">
        <v>1</v>
      </c>
      <c r="H240" s="93"/>
      <c r="L240" s="17">
        <v>0.5</v>
      </c>
      <c r="M240" s="17">
        <v>0.5</v>
      </c>
      <c r="V240"/>
      <c r="W240"/>
      <c r="X240"/>
      <c r="Y240"/>
      <c r="Z240"/>
      <c r="AA240"/>
      <c r="AB240"/>
      <c r="AC240"/>
    </row>
    <row r="241" spans="1:29" s="17" customFormat="1" x14ac:dyDescent="0.35">
      <c r="A241" s="21"/>
      <c r="B241" s="21"/>
      <c r="D241" s="21" t="s">
        <v>79</v>
      </c>
      <c r="E241" s="21" t="s">
        <v>73</v>
      </c>
      <c r="G241" s="17">
        <v>2</v>
      </c>
      <c r="H241" s="93"/>
      <c r="L241" s="17">
        <v>0.5</v>
      </c>
      <c r="M241" s="17">
        <v>0.5</v>
      </c>
      <c r="V241"/>
      <c r="W241"/>
      <c r="X241"/>
      <c r="Y241"/>
      <c r="Z241"/>
      <c r="AA241"/>
      <c r="AB241"/>
      <c r="AC241"/>
    </row>
    <row r="242" spans="1:29" s="17" customFormat="1" x14ac:dyDescent="0.35">
      <c r="A242" s="21"/>
      <c r="B242" s="21"/>
      <c r="D242" s="21" t="s">
        <v>75</v>
      </c>
      <c r="E242" s="21" t="s">
        <v>55</v>
      </c>
      <c r="G242" s="17">
        <v>1</v>
      </c>
      <c r="H242" s="93"/>
      <c r="L242" s="17">
        <v>0.5</v>
      </c>
      <c r="M242" s="17">
        <v>0.5</v>
      </c>
      <c r="V242"/>
      <c r="W242"/>
      <c r="X242"/>
      <c r="Y242"/>
      <c r="Z242"/>
      <c r="AA242"/>
      <c r="AB242"/>
      <c r="AC242"/>
    </row>
    <row r="243" spans="1:29" s="17" customFormat="1" x14ac:dyDescent="0.35">
      <c r="A243" s="21"/>
      <c r="B243" s="21"/>
      <c r="D243" s="21" t="s">
        <v>94</v>
      </c>
      <c r="E243" s="21" t="s">
        <v>18</v>
      </c>
      <c r="G243" s="17">
        <v>24</v>
      </c>
      <c r="H243" s="93"/>
      <c r="V243"/>
      <c r="W243"/>
      <c r="X243"/>
      <c r="Y243"/>
      <c r="Z243"/>
      <c r="AA243"/>
      <c r="AB243"/>
      <c r="AC243"/>
    </row>
    <row r="244" spans="1:29" s="17" customFormat="1" x14ac:dyDescent="0.35">
      <c r="A244" s="21"/>
      <c r="B244" s="21"/>
      <c r="D244" s="21" t="s">
        <v>326</v>
      </c>
      <c r="E244" s="21" t="s">
        <v>327</v>
      </c>
      <c r="G244" s="17">
        <v>1</v>
      </c>
      <c r="H244" s="93"/>
      <c r="V244"/>
      <c r="W244"/>
      <c r="X244"/>
      <c r="Y244"/>
      <c r="Z244"/>
      <c r="AA244"/>
      <c r="AB244"/>
      <c r="AC244"/>
    </row>
    <row r="245" spans="1:29" s="49" customFormat="1" ht="21.75" thickBot="1" x14ac:dyDescent="0.4">
      <c r="A245" s="48"/>
      <c r="B245" s="48"/>
      <c r="D245" s="48"/>
      <c r="E245" s="48"/>
      <c r="H245" s="94"/>
      <c r="V245" s="76"/>
      <c r="W245" s="76"/>
      <c r="X245" s="76"/>
      <c r="Y245" s="76"/>
      <c r="Z245" s="76"/>
      <c r="AA245" s="76"/>
      <c r="AB245" s="76"/>
      <c r="AC245" s="76"/>
    </row>
    <row r="246" spans="1:29" s="47" customFormat="1" x14ac:dyDescent="0.35">
      <c r="A246" s="46" t="s">
        <v>74</v>
      </c>
      <c r="B246" s="46" t="s">
        <v>226</v>
      </c>
      <c r="C246" s="54">
        <v>5062</v>
      </c>
      <c r="D246" s="46" t="s">
        <v>229</v>
      </c>
      <c r="E246" s="46" t="s">
        <v>299</v>
      </c>
      <c r="F246" s="47" t="s">
        <v>386</v>
      </c>
      <c r="G246" s="47">
        <v>1</v>
      </c>
      <c r="H246" s="95">
        <v>46198</v>
      </c>
      <c r="L246" s="47">
        <v>0.5</v>
      </c>
      <c r="Q246" s="47">
        <v>0.5</v>
      </c>
      <c r="V246"/>
      <c r="W246"/>
      <c r="X246"/>
      <c r="Y246"/>
      <c r="Z246"/>
      <c r="AA246"/>
      <c r="AB246"/>
      <c r="AC246"/>
    </row>
    <row r="247" spans="1:29" s="17" customFormat="1" x14ac:dyDescent="0.35">
      <c r="A247" s="21"/>
      <c r="B247" s="21"/>
      <c r="D247" s="21" t="s">
        <v>300</v>
      </c>
      <c r="E247" s="21" t="s">
        <v>301</v>
      </c>
      <c r="G247" s="17">
        <v>1</v>
      </c>
      <c r="H247" s="93"/>
      <c r="L247" s="47">
        <v>0.5</v>
      </c>
      <c r="P247" s="47"/>
      <c r="Q247" s="47">
        <v>0.5</v>
      </c>
      <c r="V247"/>
      <c r="W247"/>
      <c r="X247"/>
      <c r="Y247"/>
      <c r="Z247"/>
      <c r="AA247"/>
      <c r="AB247"/>
      <c r="AC247"/>
    </row>
    <row r="248" spans="1:29" s="49" customFormat="1" ht="21.75" thickBot="1" x14ac:dyDescent="0.4">
      <c r="A248" s="48"/>
      <c r="B248" s="48"/>
      <c r="D248" s="48"/>
      <c r="E248" s="48"/>
      <c r="H248" s="94"/>
      <c r="V248" s="76"/>
      <c r="W248" s="76"/>
      <c r="X248" s="76"/>
      <c r="Y248" s="76"/>
      <c r="Z248" s="76"/>
      <c r="AA248" s="76"/>
      <c r="AB248" s="76"/>
      <c r="AC248" s="76"/>
    </row>
    <row r="249" spans="1:29" s="47" customFormat="1" x14ac:dyDescent="0.35">
      <c r="A249" s="46" t="s">
        <v>136</v>
      </c>
      <c r="B249" s="46" t="s">
        <v>789</v>
      </c>
      <c r="C249" s="53">
        <v>5063</v>
      </c>
      <c r="D249" s="46" t="s">
        <v>790</v>
      </c>
      <c r="E249" s="46" t="s">
        <v>791</v>
      </c>
      <c r="F249" s="47" t="s">
        <v>792</v>
      </c>
      <c r="G249" s="47">
        <v>3</v>
      </c>
      <c r="H249" s="95">
        <v>46199</v>
      </c>
      <c r="V249"/>
      <c r="W249"/>
      <c r="X249"/>
      <c r="Y249"/>
      <c r="Z249"/>
      <c r="AA249"/>
      <c r="AB249"/>
      <c r="AC249"/>
    </row>
    <row r="250" spans="1:29" s="49" customFormat="1" ht="21.75" thickBot="1" x14ac:dyDescent="0.4">
      <c r="A250" s="48"/>
      <c r="B250" s="48"/>
      <c r="D250" s="48"/>
      <c r="E250" s="48"/>
      <c r="F250" s="49" t="s">
        <v>936</v>
      </c>
      <c r="H250" s="94"/>
      <c r="V250" s="76"/>
      <c r="W250" s="76"/>
      <c r="X250" s="76"/>
      <c r="Y250" s="76"/>
      <c r="Z250" s="76"/>
      <c r="AA250" s="76"/>
      <c r="AB250" s="76"/>
      <c r="AC250" s="76"/>
    </row>
    <row r="251" spans="1:29" s="47" customFormat="1" x14ac:dyDescent="0.35">
      <c r="A251" s="46" t="s">
        <v>11</v>
      </c>
      <c r="B251" s="46" t="s">
        <v>163</v>
      </c>
      <c r="C251" s="54">
        <v>5064</v>
      </c>
      <c r="D251" s="46" t="s">
        <v>76</v>
      </c>
      <c r="E251" s="46" t="s">
        <v>150</v>
      </c>
      <c r="F251" s="47" t="s">
        <v>794</v>
      </c>
      <c r="G251" s="47">
        <v>3</v>
      </c>
      <c r="H251" s="95">
        <v>46199</v>
      </c>
      <c r="M251" s="47">
        <v>1</v>
      </c>
      <c r="P251" s="47">
        <v>1</v>
      </c>
      <c r="Q251" s="47">
        <v>1</v>
      </c>
      <c r="V251"/>
      <c r="W251"/>
      <c r="X251"/>
      <c r="Y251"/>
      <c r="Z251"/>
      <c r="AA251"/>
      <c r="AB251"/>
      <c r="AC251"/>
    </row>
    <row r="252" spans="1:29" s="17" customFormat="1" x14ac:dyDescent="0.35">
      <c r="A252" s="21"/>
      <c r="B252" s="21"/>
      <c r="D252" s="21" t="s">
        <v>80</v>
      </c>
      <c r="E252" s="21" t="s">
        <v>19</v>
      </c>
      <c r="G252" s="17">
        <v>3</v>
      </c>
      <c r="H252" s="93"/>
      <c r="M252" s="17">
        <v>1</v>
      </c>
      <c r="P252" s="17">
        <v>1</v>
      </c>
      <c r="Q252" s="17">
        <v>1</v>
      </c>
      <c r="V252"/>
      <c r="W252"/>
      <c r="X252"/>
      <c r="Y252"/>
      <c r="Z252"/>
      <c r="AA252"/>
      <c r="AB252"/>
      <c r="AC252"/>
    </row>
    <row r="253" spans="1:29" s="17" customFormat="1" x14ac:dyDescent="0.35">
      <c r="A253" s="21"/>
      <c r="B253" s="21"/>
      <c r="D253" s="21" t="s">
        <v>77</v>
      </c>
      <c r="E253" s="21" t="s">
        <v>20</v>
      </c>
      <c r="G253" s="17">
        <v>3</v>
      </c>
      <c r="H253" s="93"/>
      <c r="V253"/>
      <c r="W253"/>
      <c r="X253"/>
      <c r="Y253"/>
      <c r="Z253"/>
      <c r="AA253"/>
      <c r="AB253"/>
      <c r="AC253"/>
    </row>
    <row r="254" spans="1:29" s="17" customFormat="1" x14ac:dyDescent="0.35">
      <c r="A254" s="21"/>
      <c r="B254" s="21"/>
      <c r="D254" s="21" t="s">
        <v>91</v>
      </c>
      <c r="E254" s="21" t="s">
        <v>27</v>
      </c>
      <c r="G254" s="17">
        <v>3</v>
      </c>
      <c r="H254" s="93"/>
      <c r="V254"/>
      <c r="W254"/>
      <c r="X254"/>
      <c r="Y254"/>
      <c r="Z254"/>
      <c r="AA254"/>
      <c r="AB254"/>
      <c r="AC254"/>
    </row>
    <row r="255" spans="1:29" s="17" customFormat="1" x14ac:dyDescent="0.35">
      <c r="A255" s="21"/>
      <c r="B255" s="21"/>
      <c r="D255" s="21" t="s">
        <v>104</v>
      </c>
      <c r="E255" s="21" t="s">
        <v>17</v>
      </c>
      <c r="G255" s="17">
        <v>3</v>
      </c>
      <c r="H255" s="93"/>
      <c r="V255"/>
      <c r="W255"/>
      <c r="X255"/>
      <c r="Y255"/>
      <c r="Z255"/>
      <c r="AA255"/>
      <c r="AB255"/>
      <c r="AC255"/>
    </row>
    <row r="256" spans="1:29" s="17" customFormat="1" x14ac:dyDescent="0.35">
      <c r="A256" s="21"/>
      <c r="B256" s="21"/>
      <c r="D256" s="21" t="s">
        <v>93</v>
      </c>
      <c r="E256" s="21" t="s">
        <v>14</v>
      </c>
      <c r="G256" s="17">
        <v>3</v>
      </c>
      <c r="H256" s="93"/>
      <c r="P256" s="17">
        <v>3</v>
      </c>
      <c r="V256"/>
      <c r="W256"/>
      <c r="X256"/>
      <c r="Y256"/>
      <c r="Z256"/>
      <c r="AA256"/>
      <c r="AB256"/>
      <c r="AC256"/>
    </row>
    <row r="257" spans="1:29" s="17" customFormat="1" x14ac:dyDescent="0.35">
      <c r="A257" s="21"/>
      <c r="B257" s="21"/>
      <c r="D257" s="21" t="s">
        <v>123</v>
      </c>
      <c r="E257" s="21" t="s">
        <v>388</v>
      </c>
      <c r="G257" s="17">
        <v>3</v>
      </c>
      <c r="H257" s="93"/>
      <c r="L257" s="17">
        <v>3</v>
      </c>
      <c r="V257"/>
      <c r="W257"/>
      <c r="X257"/>
      <c r="Y257"/>
      <c r="Z257"/>
      <c r="AA257"/>
      <c r="AB257"/>
      <c r="AC257"/>
    </row>
    <row r="258" spans="1:29" s="17" customFormat="1" x14ac:dyDescent="0.35">
      <c r="A258" s="21"/>
      <c r="B258" s="21"/>
      <c r="D258" s="21" t="s">
        <v>85</v>
      </c>
      <c r="E258" s="21" t="s">
        <v>261</v>
      </c>
      <c r="G258" s="17">
        <v>3</v>
      </c>
      <c r="H258" s="93"/>
      <c r="L258" s="17">
        <v>3</v>
      </c>
      <c r="V258"/>
      <c r="W258"/>
      <c r="X258"/>
      <c r="Y258"/>
      <c r="Z258"/>
      <c r="AA258"/>
      <c r="AB258"/>
      <c r="AC258"/>
    </row>
    <row r="259" spans="1:29" s="17" customFormat="1" x14ac:dyDescent="0.35">
      <c r="A259" s="21"/>
      <c r="B259" s="21"/>
      <c r="D259" s="21" t="s">
        <v>131</v>
      </c>
      <c r="E259" s="21" t="s">
        <v>793</v>
      </c>
      <c r="G259" s="17">
        <v>6</v>
      </c>
      <c r="H259" s="93"/>
      <c r="L259" s="17">
        <v>3</v>
      </c>
      <c r="V259"/>
      <c r="W259"/>
      <c r="X259"/>
      <c r="Y259"/>
      <c r="Z259"/>
      <c r="AA259"/>
      <c r="AB259"/>
      <c r="AC259"/>
    </row>
    <row r="260" spans="1:29" s="17" customFormat="1" x14ac:dyDescent="0.35">
      <c r="A260" s="21"/>
      <c r="B260" s="21"/>
      <c r="D260" s="21" t="s">
        <v>81</v>
      </c>
      <c r="E260" s="21" t="s">
        <v>496</v>
      </c>
      <c r="G260" s="17">
        <v>3</v>
      </c>
      <c r="H260" s="93"/>
      <c r="L260" s="17">
        <v>1.5</v>
      </c>
      <c r="Q260" s="17">
        <v>1.5</v>
      </c>
      <c r="V260"/>
      <c r="W260"/>
      <c r="X260"/>
      <c r="Y260"/>
      <c r="Z260"/>
      <c r="AA260"/>
      <c r="AB260"/>
      <c r="AC260"/>
    </row>
    <row r="261" spans="1:29" s="17" customFormat="1" x14ac:dyDescent="0.35">
      <c r="A261" s="21"/>
      <c r="B261" s="21"/>
      <c r="D261" s="21" t="s">
        <v>234</v>
      </c>
      <c r="E261" s="21" t="s">
        <v>235</v>
      </c>
      <c r="G261" s="17">
        <v>3</v>
      </c>
      <c r="H261" s="93"/>
      <c r="V261"/>
      <c r="W261"/>
      <c r="X261"/>
      <c r="Y261"/>
      <c r="Z261"/>
      <c r="AA261"/>
      <c r="AB261"/>
      <c r="AC261"/>
    </row>
    <row r="262" spans="1:29" s="17" customFormat="1" x14ac:dyDescent="0.35">
      <c r="A262" s="21"/>
      <c r="B262" s="21"/>
      <c r="D262" s="21" t="s">
        <v>718</v>
      </c>
      <c r="E262" s="21" t="s">
        <v>719</v>
      </c>
      <c r="G262" s="17">
        <v>3</v>
      </c>
      <c r="H262" s="93"/>
      <c r="V262"/>
      <c r="W262"/>
      <c r="X262"/>
      <c r="Y262"/>
      <c r="Z262"/>
      <c r="AA262"/>
      <c r="AB262"/>
      <c r="AC262"/>
    </row>
    <row r="263" spans="1:29" s="49" customFormat="1" ht="21.75" thickBot="1" x14ac:dyDescent="0.4">
      <c r="A263" s="48"/>
      <c r="B263" s="48"/>
      <c r="D263" s="48"/>
      <c r="E263" s="48"/>
      <c r="H263" s="94"/>
      <c r="V263" s="76"/>
      <c r="W263" s="76"/>
      <c r="X263" s="76"/>
      <c r="Y263" s="76"/>
      <c r="Z263" s="76"/>
      <c r="AA263" s="76"/>
      <c r="AB263" s="76"/>
      <c r="AC263" s="76"/>
    </row>
    <row r="264" spans="1:29" s="47" customFormat="1" x14ac:dyDescent="0.35">
      <c r="A264" s="46" t="s">
        <v>795</v>
      </c>
      <c r="B264" s="46" t="s">
        <v>220</v>
      </c>
      <c r="C264" s="54">
        <v>5065</v>
      </c>
      <c r="D264" s="46" t="s">
        <v>98</v>
      </c>
      <c r="E264" s="46" t="s">
        <v>57</v>
      </c>
      <c r="F264" s="47" t="s">
        <v>802</v>
      </c>
      <c r="G264" s="47">
        <v>1</v>
      </c>
      <c r="H264" s="95">
        <v>46199</v>
      </c>
      <c r="V264"/>
      <c r="W264"/>
      <c r="X264"/>
      <c r="Y264"/>
      <c r="Z264"/>
      <c r="AA264"/>
      <c r="AB264"/>
      <c r="AC264"/>
    </row>
    <row r="265" spans="1:29" s="17" customFormat="1" x14ac:dyDescent="0.35">
      <c r="A265" s="21"/>
      <c r="B265" s="21"/>
      <c r="D265" s="21" t="s">
        <v>796</v>
      </c>
      <c r="E265" s="21" t="s">
        <v>797</v>
      </c>
      <c r="G265" s="17">
        <v>1</v>
      </c>
      <c r="H265" s="93"/>
      <c r="V265"/>
      <c r="W265"/>
      <c r="X265"/>
      <c r="Y265"/>
      <c r="Z265"/>
      <c r="AA265"/>
      <c r="AB265"/>
      <c r="AC265"/>
    </row>
    <row r="266" spans="1:29" s="17" customFormat="1" x14ac:dyDescent="0.35">
      <c r="A266" s="21"/>
      <c r="B266" s="21"/>
      <c r="D266" s="21" t="s">
        <v>728</v>
      </c>
      <c r="E266" s="21" t="s">
        <v>729</v>
      </c>
      <c r="G266" s="17">
        <v>1</v>
      </c>
      <c r="H266" s="93"/>
      <c r="L266" s="17">
        <v>1</v>
      </c>
      <c r="V266"/>
      <c r="W266"/>
      <c r="X266"/>
      <c r="Y266"/>
      <c r="Z266"/>
      <c r="AA266"/>
      <c r="AB266"/>
      <c r="AC266"/>
    </row>
    <row r="267" spans="1:29" s="17" customFormat="1" x14ac:dyDescent="0.35">
      <c r="A267" s="21"/>
      <c r="B267" s="21"/>
      <c r="D267" s="21" t="s">
        <v>123</v>
      </c>
      <c r="E267" s="21" t="s">
        <v>25</v>
      </c>
      <c r="G267" s="17">
        <v>1</v>
      </c>
      <c r="H267" s="93"/>
      <c r="L267" s="17">
        <v>1</v>
      </c>
      <c r="V267"/>
      <c r="W267"/>
      <c r="X267"/>
      <c r="Y267"/>
      <c r="Z267"/>
      <c r="AA267"/>
      <c r="AB267"/>
      <c r="AC267"/>
    </row>
    <row r="268" spans="1:29" s="17" customFormat="1" x14ac:dyDescent="0.35">
      <c r="A268" s="21"/>
      <c r="B268" s="21"/>
      <c r="D268" s="21" t="s">
        <v>85</v>
      </c>
      <c r="E268" s="21" t="s">
        <v>22</v>
      </c>
      <c r="G268" s="17">
        <v>1</v>
      </c>
      <c r="H268" s="93"/>
      <c r="L268" s="17">
        <v>1</v>
      </c>
      <c r="V268"/>
      <c r="W268"/>
      <c r="X268"/>
      <c r="Y268"/>
      <c r="Z268"/>
      <c r="AA268"/>
      <c r="AB268"/>
      <c r="AC268"/>
    </row>
    <row r="269" spans="1:29" s="17" customFormat="1" x14ac:dyDescent="0.35">
      <c r="A269" s="21"/>
      <c r="B269" s="21"/>
      <c r="D269" s="21" t="s">
        <v>75</v>
      </c>
      <c r="E269" s="21" t="s">
        <v>55</v>
      </c>
      <c r="G269" s="17">
        <v>1</v>
      </c>
      <c r="H269" s="93"/>
      <c r="L269" s="17">
        <v>1</v>
      </c>
      <c r="V269"/>
      <c r="W269"/>
      <c r="X269"/>
      <c r="Y269"/>
      <c r="Z269"/>
      <c r="AA269"/>
      <c r="AB269"/>
      <c r="AC269"/>
    </row>
    <row r="270" spans="1:29" s="17" customFormat="1" x14ac:dyDescent="0.35">
      <c r="A270" s="21"/>
      <c r="B270" s="21"/>
      <c r="D270" s="21" t="s">
        <v>798</v>
      </c>
      <c r="E270" s="21" t="s">
        <v>799</v>
      </c>
      <c r="G270" s="17">
        <v>1</v>
      </c>
      <c r="H270" s="93"/>
      <c r="L270" s="17">
        <v>1</v>
      </c>
      <c r="V270"/>
      <c r="W270"/>
      <c r="X270"/>
      <c r="Y270"/>
      <c r="Z270"/>
      <c r="AA270"/>
      <c r="AB270"/>
      <c r="AC270"/>
    </row>
    <row r="271" spans="1:29" s="17" customFormat="1" x14ac:dyDescent="0.35">
      <c r="A271" s="21"/>
      <c r="B271" s="21"/>
      <c r="D271" s="21" t="s">
        <v>800</v>
      </c>
      <c r="E271" s="21" t="s">
        <v>801</v>
      </c>
      <c r="G271" s="17">
        <v>1</v>
      </c>
      <c r="H271" s="93"/>
      <c r="L271" s="17">
        <v>1</v>
      </c>
      <c r="V271"/>
      <c r="W271"/>
      <c r="X271"/>
      <c r="Y271"/>
      <c r="Z271"/>
      <c r="AA271"/>
      <c r="AB271"/>
      <c r="AC271"/>
    </row>
    <row r="272" spans="1:29" s="49" customFormat="1" ht="21.75" thickBot="1" x14ac:dyDescent="0.4">
      <c r="A272" s="48"/>
      <c r="B272" s="48"/>
      <c r="D272" s="48"/>
      <c r="E272" s="48"/>
      <c r="H272" s="94"/>
      <c r="V272" s="76"/>
      <c r="W272" s="76"/>
      <c r="X272" s="76"/>
      <c r="Y272" s="76"/>
      <c r="Z272" s="76"/>
      <c r="AA272" s="76"/>
      <c r="AB272" s="76"/>
      <c r="AC272" s="76"/>
    </row>
    <row r="273" spans="1:29" s="47" customFormat="1" x14ac:dyDescent="0.35">
      <c r="A273" s="46" t="s">
        <v>11</v>
      </c>
      <c r="B273" s="46" t="s">
        <v>163</v>
      </c>
      <c r="C273" s="54">
        <v>5066</v>
      </c>
      <c r="D273" s="46" t="s">
        <v>76</v>
      </c>
      <c r="E273" s="46" t="s">
        <v>150</v>
      </c>
      <c r="F273" s="47" t="s">
        <v>646</v>
      </c>
      <c r="G273" s="47">
        <v>2</v>
      </c>
      <c r="H273" s="95">
        <v>46203</v>
      </c>
      <c r="K273" s="47">
        <v>1</v>
      </c>
      <c r="N273" s="47">
        <v>1</v>
      </c>
      <c r="V273"/>
      <c r="W273"/>
      <c r="X273"/>
      <c r="Y273"/>
      <c r="Z273"/>
      <c r="AA273"/>
      <c r="AB273"/>
      <c r="AC273"/>
    </row>
    <row r="274" spans="1:29" s="17" customFormat="1" x14ac:dyDescent="0.35">
      <c r="A274" s="21"/>
      <c r="B274" s="21"/>
      <c r="D274" s="21" t="s">
        <v>77</v>
      </c>
      <c r="E274" s="21" t="s">
        <v>20</v>
      </c>
      <c r="G274" s="17">
        <v>2</v>
      </c>
      <c r="H274" s="93"/>
      <c r="V274"/>
      <c r="W274"/>
      <c r="X274"/>
      <c r="Y274"/>
      <c r="Z274"/>
      <c r="AA274"/>
      <c r="AB274"/>
      <c r="AC274"/>
    </row>
    <row r="275" spans="1:29" s="17" customFormat="1" x14ac:dyDescent="0.35">
      <c r="A275" s="21"/>
      <c r="B275" s="21"/>
      <c r="D275" s="21" t="s">
        <v>747</v>
      </c>
      <c r="E275" s="21" t="s">
        <v>748</v>
      </c>
      <c r="G275" s="17">
        <v>2</v>
      </c>
      <c r="H275" s="93"/>
      <c r="V275"/>
      <c r="W275"/>
      <c r="X275"/>
      <c r="Y275"/>
      <c r="Z275"/>
      <c r="AA275"/>
      <c r="AB275"/>
      <c r="AC275"/>
    </row>
    <row r="276" spans="1:29" s="49" customFormat="1" ht="21.75" thickBot="1" x14ac:dyDescent="0.4">
      <c r="A276" s="48"/>
      <c r="B276" s="48"/>
      <c r="D276" s="48"/>
      <c r="E276" s="48"/>
      <c r="H276" s="94"/>
      <c r="V276" s="76"/>
      <c r="W276" s="76"/>
      <c r="X276" s="76"/>
      <c r="Y276" s="76"/>
      <c r="Z276" s="76"/>
      <c r="AA276" s="76"/>
      <c r="AB276" s="76"/>
      <c r="AC276" s="76"/>
    </row>
    <row r="277" spans="1:29" s="47" customFormat="1" x14ac:dyDescent="0.35">
      <c r="A277" s="46" t="s">
        <v>446</v>
      </c>
      <c r="B277" s="46" t="s">
        <v>220</v>
      </c>
      <c r="C277" s="53">
        <v>5067</v>
      </c>
      <c r="D277" s="46" t="s">
        <v>76</v>
      </c>
      <c r="E277" s="46" t="s">
        <v>150</v>
      </c>
      <c r="G277" s="47">
        <v>5</v>
      </c>
      <c r="H277" s="95">
        <v>46203</v>
      </c>
      <c r="I277" s="47">
        <v>0.625</v>
      </c>
      <c r="J277" s="47">
        <v>0.625</v>
      </c>
      <c r="M277" s="47">
        <v>0.625</v>
      </c>
      <c r="P277" s="47">
        <v>0.625</v>
      </c>
      <c r="V277"/>
      <c r="W277"/>
      <c r="X277"/>
      <c r="Y277"/>
      <c r="Z277"/>
      <c r="AA277"/>
      <c r="AB277"/>
      <c r="AC277"/>
    </row>
    <row r="278" spans="1:29" s="17" customFormat="1" x14ac:dyDescent="0.35">
      <c r="A278" s="21"/>
      <c r="B278" s="21"/>
      <c r="D278" s="21" t="s">
        <v>141</v>
      </c>
      <c r="E278" s="21" t="s">
        <v>151</v>
      </c>
      <c r="F278" s="17" t="s">
        <v>940</v>
      </c>
      <c r="G278" s="17">
        <v>5</v>
      </c>
      <c r="H278" s="93"/>
      <c r="I278" s="17">
        <v>1.25</v>
      </c>
      <c r="J278" s="17">
        <v>1.25</v>
      </c>
      <c r="M278" s="17">
        <v>1.25</v>
      </c>
      <c r="P278" s="17">
        <v>1.25</v>
      </c>
      <c r="V278"/>
      <c r="W278"/>
      <c r="X278"/>
      <c r="Y278"/>
      <c r="Z278"/>
      <c r="AA278"/>
      <c r="AB278"/>
      <c r="AC278"/>
    </row>
    <row r="279" spans="1:29" s="17" customFormat="1" x14ac:dyDescent="0.35">
      <c r="A279" s="21"/>
      <c r="B279" s="21"/>
      <c r="D279" s="21" t="s">
        <v>217</v>
      </c>
      <c r="E279" s="21" t="s">
        <v>218</v>
      </c>
      <c r="G279" s="17">
        <v>5</v>
      </c>
      <c r="H279" s="93"/>
      <c r="V279"/>
      <c r="W279"/>
      <c r="X279"/>
      <c r="Y279"/>
      <c r="Z279"/>
      <c r="AA279"/>
      <c r="AB279"/>
      <c r="AC279"/>
    </row>
    <row r="280" spans="1:29" s="17" customFormat="1" x14ac:dyDescent="0.35">
      <c r="A280" s="21"/>
      <c r="B280" s="21"/>
      <c r="D280" s="21" t="s">
        <v>84</v>
      </c>
      <c r="E280" s="21" t="s">
        <v>13</v>
      </c>
      <c r="G280" s="17">
        <v>5</v>
      </c>
      <c r="H280" s="93"/>
      <c r="V280"/>
      <c r="W280"/>
      <c r="X280"/>
      <c r="Y280"/>
      <c r="Z280"/>
      <c r="AA280"/>
      <c r="AB280"/>
      <c r="AC280"/>
    </row>
    <row r="281" spans="1:29" s="17" customFormat="1" x14ac:dyDescent="0.35">
      <c r="A281" s="21"/>
      <c r="B281" s="21"/>
      <c r="D281" s="21" t="s">
        <v>93</v>
      </c>
      <c r="E281" s="21" t="s">
        <v>14</v>
      </c>
      <c r="G281" s="17">
        <v>5</v>
      </c>
      <c r="H281" s="93"/>
      <c r="I281" s="17">
        <v>1.25</v>
      </c>
      <c r="J281" s="17">
        <v>1.25</v>
      </c>
      <c r="M281" s="17">
        <v>1.25</v>
      </c>
      <c r="P281" s="17">
        <v>1.25</v>
      </c>
      <c r="V281"/>
      <c r="W281"/>
      <c r="X281"/>
      <c r="Y281"/>
      <c r="Z281"/>
      <c r="AA281"/>
      <c r="AB281"/>
      <c r="AC281"/>
    </row>
    <row r="282" spans="1:29" s="17" customFormat="1" x14ac:dyDescent="0.35">
      <c r="A282" s="21"/>
      <c r="B282" s="21"/>
      <c r="D282" s="21" t="s">
        <v>123</v>
      </c>
      <c r="E282" s="21" t="s">
        <v>25</v>
      </c>
      <c r="G282" s="17">
        <v>5</v>
      </c>
      <c r="H282" s="93"/>
      <c r="I282" s="17">
        <v>2.5</v>
      </c>
      <c r="J282" s="17">
        <v>1.25</v>
      </c>
      <c r="M282" s="17">
        <v>1.25</v>
      </c>
      <c r="P282" s="17">
        <v>1.25</v>
      </c>
      <c r="V282"/>
      <c r="W282"/>
      <c r="X282"/>
      <c r="Y282"/>
      <c r="Z282"/>
      <c r="AA282"/>
      <c r="AB282"/>
      <c r="AC282"/>
    </row>
    <row r="283" spans="1:29" s="17" customFormat="1" x14ac:dyDescent="0.35">
      <c r="A283" s="21"/>
      <c r="B283" s="21"/>
      <c r="D283" s="21" t="s">
        <v>87</v>
      </c>
      <c r="E283" s="21" t="s">
        <v>21</v>
      </c>
      <c r="G283" s="17">
        <v>5</v>
      </c>
      <c r="H283" s="93"/>
      <c r="I283" s="17">
        <v>2.5</v>
      </c>
      <c r="J283" s="17">
        <v>1.25</v>
      </c>
      <c r="M283" s="17">
        <v>1.25</v>
      </c>
      <c r="P283" s="17">
        <v>1.25</v>
      </c>
      <c r="V283"/>
      <c r="W283"/>
      <c r="X283"/>
      <c r="Y283"/>
      <c r="Z283"/>
      <c r="AA283"/>
      <c r="AB283"/>
      <c r="AC283"/>
    </row>
    <row r="284" spans="1:29" s="17" customFormat="1" x14ac:dyDescent="0.35">
      <c r="A284" s="21"/>
      <c r="B284" s="21"/>
      <c r="D284" s="21" t="s">
        <v>750</v>
      </c>
      <c r="E284" s="21" t="s">
        <v>751</v>
      </c>
      <c r="G284" s="17">
        <v>120</v>
      </c>
      <c r="H284" s="93"/>
      <c r="V284"/>
      <c r="W284"/>
      <c r="X284"/>
      <c r="Y284"/>
      <c r="Z284"/>
      <c r="AA284"/>
      <c r="AB284"/>
      <c r="AC284"/>
    </row>
    <row r="285" spans="1:29" s="49" customFormat="1" ht="21.75" thickBot="1" x14ac:dyDescent="0.4">
      <c r="A285" s="48"/>
      <c r="B285" s="48"/>
      <c r="D285" s="48"/>
      <c r="E285" s="48"/>
      <c r="H285" s="94"/>
      <c r="V285" s="76"/>
      <c r="W285" s="76"/>
      <c r="X285" s="76"/>
      <c r="Y285" s="76"/>
      <c r="Z285" s="76"/>
      <c r="AA285" s="76"/>
      <c r="AB285" s="76"/>
      <c r="AC285" s="76"/>
    </row>
    <row r="286" spans="1:29" s="47" customFormat="1" x14ac:dyDescent="0.35">
      <c r="A286" s="46" t="s">
        <v>11</v>
      </c>
      <c r="B286" s="46" t="s">
        <v>163</v>
      </c>
      <c r="C286" s="54">
        <v>5068</v>
      </c>
      <c r="D286" s="46" t="s">
        <v>76</v>
      </c>
      <c r="E286" s="46" t="s">
        <v>150</v>
      </c>
      <c r="F286" s="47" t="s">
        <v>794</v>
      </c>
      <c r="G286" s="47">
        <v>1</v>
      </c>
      <c r="H286" s="95">
        <v>46204</v>
      </c>
      <c r="K286" s="47">
        <v>0.5</v>
      </c>
      <c r="N286" s="47">
        <v>0.5</v>
      </c>
      <c r="V286"/>
      <c r="W286"/>
      <c r="X286"/>
      <c r="Y286"/>
      <c r="Z286"/>
      <c r="AA286"/>
      <c r="AB286"/>
      <c r="AC286"/>
    </row>
    <row r="287" spans="1:29" s="17" customFormat="1" x14ac:dyDescent="0.35">
      <c r="A287" s="21"/>
      <c r="B287" s="21"/>
      <c r="D287" s="21" t="s">
        <v>80</v>
      </c>
      <c r="E287" s="21" t="s">
        <v>19</v>
      </c>
      <c r="G287" s="17">
        <v>1</v>
      </c>
      <c r="H287" s="93"/>
      <c r="K287" s="17">
        <v>0.5</v>
      </c>
      <c r="N287" s="17">
        <v>0.5</v>
      </c>
      <c r="V287"/>
      <c r="W287"/>
      <c r="X287"/>
      <c r="Y287"/>
      <c r="Z287"/>
      <c r="AA287"/>
      <c r="AB287"/>
      <c r="AC287"/>
    </row>
    <row r="288" spans="1:29" s="17" customFormat="1" x14ac:dyDescent="0.35">
      <c r="A288" s="21"/>
      <c r="B288" s="21"/>
      <c r="D288" s="21" t="s">
        <v>77</v>
      </c>
      <c r="E288" s="21" t="s">
        <v>20</v>
      </c>
      <c r="G288" s="17">
        <v>1</v>
      </c>
      <c r="H288" s="93"/>
      <c r="V288"/>
      <c r="W288"/>
      <c r="X288"/>
      <c r="Y288"/>
      <c r="Z288"/>
      <c r="AA288"/>
      <c r="AB288"/>
      <c r="AC288"/>
    </row>
    <row r="289" spans="1:29" s="17" customFormat="1" x14ac:dyDescent="0.35">
      <c r="A289" s="21"/>
      <c r="B289" s="21"/>
      <c r="D289" s="21" t="s">
        <v>91</v>
      </c>
      <c r="E289" s="21" t="s">
        <v>27</v>
      </c>
      <c r="G289" s="17">
        <v>1</v>
      </c>
      <c r="H289" s="93"/>
      <c r="V289"/>
      <c r="W289"/>
      <c r="X289"/>
      <c r="Y289"/>
      <c r="Z289"/>
      <c r="AA289"/>
      <c r="AB289"/>
      <c r="AC289"/>
    </row>
    <row r="290" spans="1:29" s="17" customFormat="1" x14ac:dyDescent="0.35">
      <c r="A290" s="21"/>
      <c r="B290" s="21"/>
      <c r="D290" s="21" t="s">
        <v>104</v>
      </c>
      <c r="E290" s="21" t="s">
        <v>17</v>
      </c>
      <c r="G290" s="17">
        <v>1</v>
      </c>
      <c r="H290" s="93"/>
      <c r="V290"/>
      <c r="W290"/>
      <c r="X290"/>
      <c r="Y290"/>
      <c r="Z290"/>
      <c r="AA290"/>
      <c r="AB290"/>
      <c r="AC290"/>
    </row>
    <row r="291" spans="1:29" s="17" customFormat="1" x14ac:dyDescent="0.35">
      <c r="A291" s="21"/>
      <c r="B291" s="21"/>
      <c r="D291" s="21" t="s">
        <v>93</v>
      </c>
      <c r="E291" s="21" t="s">
        <v>14</v>
      </c>
      <c r="G291" s="17">
        <v>1</v>
      </c>
      <c r="H291" s="93"/>
      <c r="K291" s="17">
        <v>0.5</v>
      </c>
      <c r="N291" s="17">
        <v>0.5</v>
      </c>
      <c r="V291"/>
      <c r="W291"/>
      <c r="X291"/>
      <c r="Y291"/>
      <c r="Z291"/>
      <c r="AA291"/>
      <c r="AB291"/>
      <c r="AC291"/>
    </row>
    <row r="292" spans="1:29" s="17" customFormat="1" x14ac:dyDescent="0.35">
      <c r="A292" s="21"/>
      <c r="B292" s="21"/>
      <c r="D292" s="21" t="s">
        <v>123</v>
      </c>
      <c r="E292" s="21" t="s">
        <v>803</v>
      </c>
      <c r="G292" s="17">
        <v>1</v>
      </c>
      <c r="H292" s="93"/>
      <c r="K292" s="17">
        <v>0.5</v>
      </c>
      <c r="N292" s="17">
        <v>0.5</v>
      </c>
      <c r="V292"/>
      <c r="W292"/>
      <c r="X292"/>
      <c r="Y292"/>
      <c r="Z292"/>
      <c r="AA292"/>
      <c r="AB292"/>
      <c r="AC292"/>
    </row>
    <row r="293" spans="1:29" s="17" customFormat="1" x14ac:dyDescent="0.35">
      <c r="A293" s="21"/>
      <c r="B293" s="21"/>
      <c r="D293" s="21" t="s">
        <v>85</v>
      </c>
      <c r="E293" s="21" t="s">
        <v>804</v>
      </c>
      <c r="G293" s="17">
        <v>1</v>
      </c>
      <c r="H293" s="93"/>
      <c r="K293" s="17">
        <v>0.5</v>
      </c>
      <c r="N293" s="17">
        <v>0.5</v>
      </c>
      <c r="V293"/>
      <c r="W293"/>
      <c r="X293"/>
      <c r="Y293"/>
      <c r="Z293"/>
      <c r="AA293"/>
      <c r="AB293"/>
      <c r="AC293"/>
    </row>
    <row r="294" spans="1:29" s="17" customFormat="1" x14ac:dyDescent="0.35">
      <c r="A294" s="21"/>
      <c r="B294" s="21"/>
      <c r="D294" s="21" t="s">
        <v>131</v>
      </c>
      <c r="E294" s="21" t="s">
        <v>805</v>
      </c>
      <c r="G294" s="17">
        <v>2</v>
      </c>
      <c r="H294" s="93"/>
      <c r="K294" s="17">
        <v>0.5</v>
      </c>
      <c r="N294" s="17">
        <v>0.5</v>
      </c>
      <c r="V294"/>
      <c r="W294"/>
      <c r="X294"/>
      <c r="Y294"/>
      <c r="Z294"/>
      <c r="AA294"/>
      <c r="AB294"/>
      <c r="AC294"/>
    </row>
    <row r="295" spans="1:29" s="17" customFormat="1" x14ac:dyDescent="0.35">
      <c r="A295" s="21"/>
      <c r="B295" s="21"/>
      <c r="D295" s="21" t="s">
        <v>81</v>
      </c>
      <c r="E295" s="21" t="s">
        <v>275</v>
      </c>
      <c r="G295" s="17">
        <v>1</v>
      </c>
      <c r="H295" s="93"/>
      <c r="K295" s="17">
        <v>0.5</v>
      </c>
      <c r="N295" s="17">
        <v>0.5</v>
      </c>
      <c r="V295"/>
      <c r="W295"/>
      <c r="X295"/>
      <c r="Y295"/>
      <c r="Z295"/>
      <c r="AA295"/>
      <c r="AB295"/>
      <c r="AC295"/>
    </row>
    <row r="296" spans="1:29" s="17" customFormat="1" x14ac:dyDescent="0.35">
      <c r="A296" s="21"/>
      <c r="B296" s="21"/>
      <c r="D296" s="21" t="s">
        <v>718</v>
      </c>
      <c r="E296" s="21" t="s">
        <v>719</v>
      </c>
      <c r="G296" s="17">
        <v>1</v>
      </c>
      <c r="H296" s="93"/>
      <c r="V296"/>
      <c r="W296"/>
      <c r="X296"/>
      <c r="Y296"/>
      <c r="Z296"/>
      <c r="AA296"/>
      <c r="AB296"/>
      <c r="AC296"/>
    </row>
    <row r="297" spans="1:29" s="17" customFormat="1" x14ac:dyDescent="0.35">
      <c r="A297" s="21"/>
      <c r="B297" s="21"/>
      <c r="D297" s="21" t="s">
        <v>234</v>
      </c>
      <c r="E297" s="21" t="s">
        <v>235</v>
      </c>
      <c r="G297" s="17">
        <v>1</v>
      </c>
      <c r="H297" s="93"/>
      <c r="V297"/>
      <c r="W297"/>
      <c r="X297"/>
      <c r="Y297"/>
      <c r="Z297"/>
      <c r="AA297"/>
      <c r="AB297"/>
      <c r="AC297"/>
    </row>
    <row r="298" spans="1:29" s="49" customFormat="1" ht="21.75" thickBot="1" x14ac:dyDescent="0.4">
      <c r="A298" s="48"/>
      <c r="B298" s="48"/>
      <c r="D298" s="48"/>
      <c r="E298" s="48"/>
      <c r="H298" s="94"/>
      <c r="V298" s="76"/>
      <c r="W298" s="76"/>
      <c r="X298" s="76"/>
      <c r="Y298" s="76"/>
      <c r="Z298" s="76"/>
      <c r="AA298" s="76"/>
      <c r="AB298" s="76"/>
      <c r="AC298" s="76"/>
    </row>
    <row r="299" spans="1:29" s="47" customFormat="1" x14ac:dyDescent="0.35">
      <c r="A299" s="46" t="s">
        <v>806</v>
      </c>
      <c r="B299" s="46" t="s">
        <v>220</v>
      </c>
      <c r="C299" s="54">
        <v>5069</v>
      </c>
      <c r="D299" s="46"/>
      <c r="E299" s="46" t="s">
        <v>807</v>
      </c>
      <c r="F299" s="47" t="s">
        <v>810</v>
      </c>
      <c r="G299" s="47">
        <v>1</v>
      </c>
      <c r="H299" s="95">
        <v>46204</v>
      </c>
      <c r="O299" s="47">
        <v>0.25</v>
      </c>
      <c r="P299" s="47">
        <v>0.25</v>
      </c>
      <c r="V299"/>
      <c r="W299"/>
      <c r="X299"/>
      <c r="Y299"/>
      <c r="Z299"/>
      <c r="AA299"/>
      <c r="AB299"/>
      <c r="AC299"/>
    </row>
    <row r="300" spans="1:29" s="17" customFormat="1" x14ac:dyDescent="0.35">
      <c r="A300" s="21"/>
      <c r="B300" s="21"/>
      <c r="D300" s="21"/>
      <c r="E300" s="21" t="s">
        <v>808</v>
      </c>
      <c r="G300" s="17">
        <v>1</v>
      </c>
      <c r="H300" s="93"/>
      <c r="O300" s="17">
        <v>0.5</v>
      </c>
      <c r="P300" s="17">
        <v>0.5</v>
      </c>
      <c r="V300"/>
      <c r="W300"/>
      <c r="X300"/>
      <c r="Y300"/>
      <c r="Z300"/>
      <c r="AA300"/>
      <c r="AB300"/>
      <c r="AC300"/>
    </row>
    <row r="301" spans="1:29" s="17" customFormat="1" x14ac:dyDescent="0.35">
      <c r="A301" s="21"/>
      <c r="B301" s="21"/>
      <c r="D301" s="21"/>
      <c r="E301" s="21" t="s">
        <v>809</v>
      </c>
      <c r="G301" s="17">
        <v>1</v>
      </c>
      <c r="H301" s="93"/>
      <c r="V301"/>
      <c r="W301"/>
      <c r="X301"/>
      <c r="Y301"/>
      <c r="Z301"/>
      <c r="AA301"/>
      <c r="AB301"/>
      <c r="AC301"/>
    </row>
    <row r="302" spans="1:29" s="17" customFormat="1" x14ac:dyDescent="0.35">
      <c r="A302" s="21"/>
      <c r="B302" s="21"/>
      <c r="D302" s="21" t="s">
        <v>91</v>
      </c>
      <c r="E302" s="21" t="s">
        <v>27</v>
      </c>
      <c r="G302" s="17">
        <v>1</v>
      </c>
      <c r="H302" s="93"/>
      <c r="V302"/>
      <c r="W302"/>
      <c r="X302"/>
      <c r="Y302"/>
      <c r="Z302"/>
      <c r="AA302"/>
      <c r="AB302"/>
      <c r="AC302"/>
    </row>
    <row r="303" spans="1:29" s="17" customFormat="1" x14ac:dyDescent="0.35">
      <c r="A303" s="21"/>
      <c r="B303" s="21"/>
      <c r="D303" s="21" t="s">
        <v>93</v>
      </c>
      <c r="E303" s="21" t="s">
        <v>14</v>
      </c>
      <c r="G303" s="17">
        <v>1</v>
      </c>
      <c r="H303" s="93"/>
      <c r="O303" s="17">
        <v>0.5</v>
      </c>
      <c r="P303" s="17">
        <v>0.5</v>
      </c>
      <c r="V303"/>
      <c r="W303"/>
      <c r="X303"/>
      <c r="Y303"/>
      <c r="Z303"/>
      <c r="AA303"/>
      <c r="AB303"/>
      <c r="AC303"/>
    </row>
    <row r="304" spans="1:29" s="17" customFormat="1" x14ac:dyDescent="0.35">
      <c r="A304" s="21"/>
      <c r="B304" s="21"/>
      <c r="D304" s="21" t="s">
        <v>123</v>
      </c>
      <c r="E304" s="21" t="s">
        <v>25</v>
      </c>
      <c r="G304" s="17">
        <v>1</v>
      </c>
      <c r="H304" s="93"/>
      <c r="O304" s="17">
        <v>0.5</v>
      </c>
      <c r="P304" s="17">
        <v>0.5</v>
      </c>
      <c r="V304"/>
      <c r="W304"/>
      <c r="X304"/>
      <c r="Y304"/>
      <c r="Z304"/>
      <c r="AA304"/>
      <c r="AB304"/>
      <c r="AC304"/>
    </row>
    <row r="305" spans="1:29" s="17" customFormat="1" x14ac:dyDescent="0.35">
      <c r="A305" s="21"/>
      <c r="B305" s="21"/>
      <c r="D305" s="21" t="s">
        <v>85</v>
      </c>
      <c r="E305" s="21" t="s">
        <v>22</v>
      </c>
      <c r="G305" s="17">
        <v>1</v>
      </c>
      <c r="H305" s="93"/>
      <c r="O305" s="17">
        <v>0.5</v>
      </c>
      <c r="P305" s="17">
        <v>0.5</v>
      </c>
      <c r="V305"/>
      <c r="W305"/>
      <c r="X305"/>
      <c r="Y305"/>
      <c r="Z305"/>
      <c r="AA305"/>
      <c r="AB305"/>
      <c r="AC305"/>
    </row>
    <row r="306" spans="1:29" s="17" customFormat="1" x14ac:dyDescent="0.35">
      <c r="A306" s="21"/>
      <c r="B306" s="21"/>
      <c r="D306" s="21" t="s">
        <v>456</v>
      </c>
      <c r="E306" s="21" t="s">
        <v>457</v>
      </c>
      <c r="G306" s="17">
        <v>24</v>
      </c>
      <c r="H306" s="93"/>
      <c r="V306"/>
      <c r="W306"/>
      <c r="X306"/>
      <c r="Y306"/>
      <c r="Z306"/>
      <c r="AA306"/>
      <c r="AB306"/>
      <c r="AC306"/>
    </row>
    <row r="307" spans="1:29" s="49" customFormat="1" ht="21.75" thickBot="1" x14ac:dyDescent="0.4">
      <c r="A307" s="48"/>
      <c r="B307" s="48"/>
      <c r="D307" s="48"/>
      <c r="E307" s="48"/>
      <c r="H307" s="94"/>
      <c r="V307" s="76"/>
      <c r="W307" s="76"/>
      <c r="X307" s="76"/>
      <c r="Y307" s="76"/>
      <c r="Z307" s="76"/>
      <c r="AA307" s="76"/>
      <c r="AB307" s="76"/>
      <c r="AC307" s="76"/>
    </row>
    <row r="308" spans="1:29" s="47" customFormat="1" x14ac:dyDescent="0.35">
      <c r="A308" s="46" t="s">
        <v>74</v>
      </c>
      <c r="B308" s="46" t="s">
        <v>226</v>
      </c>
      <c r="C308" s="54">
        <v>5070</v>
      </c>
      <c r="D308" s="46" t="s">
        <v>104</v>
      </c>
      <c r="E308" s="46" t="s">
        <v>17</v>
      </c>
      <c r="F308" s="47" t="s">
        <v>28</v>
      </c>
      <c r="G308" s="47">
        <v>7</v>
      </c>
      <c r="H308" s="95">
        <v>46204</v>
      </c>
      <c r="V308"/>
      <c r="W308"/>
      <c r="X308"/>
      <c r="Y308"/>
      <c r="Z308"/>
      <c r="AA308"/>
      <c r="AB308"/>
      <c r="AC308"/>
    </row>
    <row r="309" spans="1:29" s="49" customFormat="1" ht="21.75" thickBot="1" x14ac:dyDescent="0.4">
      <c r="A309" s="48"/>
      <c r="B309" s="48"/>
      <c r="D309" s="48"/>
      <c r="E309" s="48"/>
      <c r="H309" s="94"/>
      <c r="V309" s="76"/>
      <c r="W309" s="76"/>
      <c r="X309" s="76"/>
      <c r="Y309" s="76"/>
      <c r="Z309" s="76"/>
      <c r="AA309" s="76"/>
      <c r="AB309" s="76"/>
      <c r="AC309" s="76"/>
    </row>
    <row r="310" spans="1:29" s="47" customFormat="1" x14ac:dyDescent="0.35">
      <c r="A310" s="46" t="s">
        <v>29</v>
      </c>
      <c r="B310" s="46" t="s">
        <v>163</v>
      </c>
      <c r="C310" s="54">
        <v>5071</v>
      </c>
      <c r="D310" s="46" t="s">
        <v>101</v>
      </c>
      <c r="E310" s="46" t="s">
        <v>102</v>
      </c>
      <c r="F310" s="47" t="s">
        <v>280</v>
      </c>
      <c r="G310" s="47">
        <v>19</v>
      </c>
      <c r="H310" s="95">
        <v>46204</v>
      </c>
      <c r="J310" s="47">
        <v>1</v>
      </c>
      <c r="V310"/>
      <c r="W310"/>
      <c r="X310"/>
      <c r="Y310"/>
      <c r="Z310"/>
      <c r="AA310"/>
      <c r="AB310"/>
      <c r="AC310"/>
    </row>
    <row r="311" spans="1:29" s="17" customFormat="1" x14ac:dyDescent="0.35">
      <c r="A311" s="21"/>
      <c r="B311" s="21"/>
      <c r="D311" s="21" t="s">
        <v>83</v>
      </c>
      <c r="E311" s="21" t="s">
        <v>12</v>
      </c>
      <c r="G311" s="17">
        <v>19</v>
      </c>
      <c r="H311" s="93"/>
      <c r="J311" s="17" t="s">
        <v>928</v>
      </c>
      <c r="V311"/>
      <c r="W311"/>
      <c r="X311"/>
      <c r="Y311"/>
      <c r="Z311"/>
      <c r="AA311"/>
      <c r="AB311"/>
      <c r="AC311"/>
    </row>
    <row r="312" spans="1:29" s="17" customFormat="1" x14ac:dyDescent="0.35">
      <c r="A312" s="21"/>
      <c r="B312" s="21"/>
      <c r="D312" s="21" t="s">
        <v>84</v>
      </c>
      <c r="E312" s="21" t="s">
        <v>13</v>
      </c>
      <c r="G312" s="17">
        <v>19</v>
      </c>
      <c r="H312" s="93"/>
      <c r="V312"/>
      <c r="W312"/>
      <c r="X312"/>
      <c r="Y312"/>
      <c r="Z312"/>
      <c r="AA312"/>
      <c r="AB312"/>
      <c r="AC312"/>
    </row>
    <row r="313" spans="1:29" s="49" customFormat="1" ht="21.75" thickBot="1" x14ac:dyDescent="0.4">
      <c r="A313" s="48"/>
      <c r="B313" s="48"/>
      <c r="D313" s="48"/>
      <c r="E313" s="48"/>
      <c r="H313" s="94"/>
      <c r="V313" s="76"/>
      <c r="W313" s="76"/>
      <c r="X313" s="76"/>
      <c r="Y313" s="76"/>
      <c r="Z313" s="76"/>
      <c r="AA313" s="76"/>
      <c r="AB313" s="76"/>
      <c r="AC313" s="76"/>
    </row>
    <row r="314" spans="1:29" s="47" customFormat="1" x14ac:dyDescent="0.35">
      <c r="A314" s="46" t="s">
        <v>29</v>
      </c>
      <c r="B314" s="46" t="s">
        <v>163</v>
      </c>
      <c r="C314" s="54">
        <v>5072</v>
      </c>
      <c r="D314" s="46" t="s">
        <v>401</v>
      </c>
      <c r="E314" s="46" t="s">
        <v>811</v>
      </c>
      <c r="F314" s="47" t="s">
        <v>280</v>
      </c>
      <c r="G314" s="47">
        <v>16</v>
      </c>
      <c r="H314" s="95">
        <v>46205</v>
      </c>
      <c r="V314"/>
      <c r="W314"/>
      <c r="X314"/>
      <c r="Y314"/>
      <c r="Z314"/>
      <c r="AA314"/>
      <c r="AB314"/>
      <c r="AC314"/>
    </row>
    <row r="315" spans="1:29" s="17" customFormat="1" x14ac:dyDescent="0.35">
      <c r="A315" s="21"/>
      <c r="B315" s="21"/>
      <c r="D315" s="21" t="s">
        <v>81</v>
      </c>
      <c r="E315" s="21" t="s">
        <v>15</v>
      </c>
      <c r="G315" s="17">
        <v>16</v>
      </c>
      <c r="H315" s="93"/>
      <c r="K315" s="17">
        <v>3.2</v>
      </c>
      <c r="M315" s="17">
        <v>3.2</v>
      </c>
      <c r="N315" s="17">
        <v>3.2</v>
      </c>
      <c r="O315" s="17">
        <v>3.2</v>
      </c>
      <c r="P315" s="17">
        <v>3.2</v>
      </c>
      <c r="V315"/>
      <c r="W315"/>
      <c r="X315"/>
      <c r="Y315"/>
      <c r="Z315"/>
      <c r="AA315"/>
      <c r="AB315"/>
      <c r="AC315"/>
    </row>
    <row r="316" spans="1:29" s="49" customFormat="1" ht="21.75" thickBot="1" x14ac:dyDescent="0.4">
      <c r="A316" s="48"/>
      <c r="B316" s="48"/>
      <c r="D316" s="48"/>
      <c r="E316" s="48"/>
      <c r="H316" s="94"/>
      <c r="V316" s="76"/>
      <c r="W316" s="76"/>
      <c r="X316" s="76"/>
      <c r="Y316" s="76"/>
      <c r="Z316" s="76"/>
      <c r="AA316" s="76"/>
      <c r="AB316" s="76"/>
      <c r="AC316" s="76"/>
    </row>
    <row r="317" spans="1:29" s="47" customFormat="1" x14ac:dyDescent="0.35">
      <c r="A317" s="46" t="s">
        <v>136</v>
      </c>
      <c r="B317" s="46" t="s">
        <v>812</v>
      </c>
      <c r="C317" s="54">
        <v>5073</v>
      </c>
      <c r="D317" s="46" t="s">
        <v>92</v>
      </c>
      <c r="E317" s="46" t="s">
        <v>51</v>
      </c>
      <c r="F317" s="47" t="s">
        <v>314</v>
      </c>
      <c r="G317" s="47">
        <v>1</v>
      </c>
      <c r="H317" s="95">
        <v>46205</v>
      </c>
      <c r="V317"/>
      <c r="W317"/>
      <c r="X317"/>
      <c r="Y317"/>
      <c r="Z317"/>
      <c r="AA317"/>
      <c r="AB317"/>
      <c r="AC317"/>
    </row>
    <row r="318" spans="1:29" s="17" customFormat="1" x14ac:dyDescent="0.35">
      <c r="A318" s="21"/>
      <c r="B318" s="21"/>
      <c r="D318" s="21" t="s">
        <v>123</v>
      </c>
      <c r="E318" s="21" t="s">
        <v>25</v>
      </c>
      <c r="G318" s="17">
        <v>1</v>
      </c>
      <c r="H318" s="93"/>
      <c r="M318" s="17">
        <v>0.5</v>
      </c>
      <c r="O318" s="17">
        <v>0.5</v>
      </c>
      <c r="V318"/>
      <c r="W318"/>
      <c r="X318"/>
      <c r="Y318"/>
      <c r="Z318"/>
      <c r="AA318"/>
      <c r="AB318"/>
      <c r="AC318"/>
    </row>
    <row r="319" spans="1:29" s="17" customFormat="1" x14ac:dyDescent="0.35">
      <c r="A319" s="21"/>
      <c r="B319" s="21"/>
      <c r="D319" s="21" t="s">
        <v>81</v>
      </c>
      <c r="E319" s="21" t="s">
        <v>15</v>
      </c>
      <c r="G319" s="17">
        <v>1</v>
      </c>
      <c r="H319" s="93"/>
      <c r="M319" s="17">
        <v>0.5</v>
      </c>
      <c r="O319" s="17">
        <v>0.5</v>
      </c>
      <c r="V319"/>
      <c r="W319"/>
      <c r="X319"/>
      <c r="Y319"/>
      <c r="Z319"/>
      <c r="AA319"/>
      <c r="AB319"/>
      <c r="AC319"/>
    </row>
    <row r="320" spans="1:29" s="17" customFormat="1" x14ac:dyDescent="0.35">
      <c r="A320" s="21"/>
      <c r="B320" s="21"/>
      <c r="D320" s="21" t="s">
        <v>322</v>
      </c>
      <c r="E320" s="21" t="s">
        <v>323</v>
      </c>
      <c r="G320" s="17">
        <v>1</v>
      </c>
      <c r="H320" s="93"/>
      <c r="V320"/>
      <c r="W320"/>
      <c r="X320"/>
      <c r="Y320"/>
      <c r="Z320"/>
      <c r="AA320"/>
      <c r="AB320"/>
      <c r="AC320"/>
    </row>
    <row r="321" spans="1:29" s="17" customFormat="1" x14ac:dyDescent="0.35">
      <c r="A321" s="21"/>
      <c r="B321" s="21"/>
      <c r="D321" s="21" t="s">
        <v>157</v>
      </c>
      <c r="E321" s="21" t="s">
        <v>158</v>
      </c>
      <c r="G321" s="17">
        <v>1</v>
      </c>
      <c r="H321" s="93"/>
      <c r="V321"/>
      <c r="W321"/>
      <c r="X321"/>
      <c r="Y321"/>
      <c r="Z321"/>
      <c r="AA321"/>
      <c r="AB321"/>
      <c r="AC321"/>
    </row>
    <row r="322" spans="1:29" s="17" customFormat="1" x14ac:dyDescent="0.35">
      <c r="A322" s="21"/>
      <c r="B322" s="21"/>
      <c r="D322" s="21" t="s">
        <v>116</v>
      </c>
      <c r="E322" s="21" t="s">
        <v>122</v>
      </c>
      <c r="G322" s="17">
        <v>1</v>
      </c>
      <c r="H322" s="93"/>
      <c r="V322"/>
      <c r="W322"/>
      <c r="X322"/>
      <c r="Y322"/>
      <c r="Z322"/>
      <c r="AA322"/>
      <c r="AB322"/>
      <c r="AC322"/>
    </row>
    <row r="323" spans="1:29" s="17" customFormat="1" x14ac:dyDescent="0.35">
      <c r="A323" s="21"/>
      <c r="B323" s="21"/>
      <c r="D323" s="21" t="s">
        <v>256</v>
      </c>
      <c r="E323" s="21" t="s">
        <v>257</v>
      </c>
      <c r="G323" s="17">
        <v>1</v>
      </c>
      <c r="H323" s="93"/>
      <c r="V323"/>
      <c r="W323"/>
      <c r="X323"/>
      <c r="Y323"/>
      <c r="Z323"/>
      <c r="AA323"/>
      <c r="AB323"/>
      <c r="AC323"/>
    </row>
    <row r="324" spans="1:29" s="49" customFormat="1" ht="21.75" thickBot="1" x14ac:dyDescent="0.4">
      <c r="A324" s="48"/>
      <c r="B324" s="48"/>
      <c r="D324" s="48"/>
      <c r="E324" s="48"/>
      <c r="H324" s="94"/>
      <c r="V324" s="76"/>
      <c r="W324" s="76"/>
      <c r="X324" s="76"/>
      <c r="Y324" s="76"/>
      <c r="Z324" s="76"/>
      <c r="AA324" s="76"/>
      <c r="AB324" s="76"/>
      <c r="AC324" s="76"/>
    </row>
    <row r="325" spans="1:29" s="47" customFormat="1" x14ac:dyDescent="0.35">
      <c r="A325" s="46" t="s">
        <v>74</v>
      </c>
      <c r="B325" s="46" t="s">
        <v>226</v>
      </c>
      <c r="C325" s="53">
        <v>5074</v>
      </c>
      <c r="D325" s="46" t="s">
        <v>229</v>
      </c>
      <c r="E325" s="46" t="s">
        <v>299</v>
      </c>
      <c r="F325" s="47" t="s">
        <v>386</v>
      </c>
      <c r="G325" s="47">
        <v>1</v>
      </c>
      <c r="H325" s="95">
        <v>46205</v>
      </c>
      <c r="I325" s="47">
        <v>2</v>
      </c>
      <c r="V325"/>
      <c r="W325"/>
      <c r="X325"/>
      <c r="Y325"/>
      <c r="Z325"/>
      <c r="AA325"/>
      <c r="AB325"/>
      <c r="AC325"/>
    </row>
    <row r="326" spans="1:29" s="17" customFormat="1" x14ac:dyDescent="0.35">
      <c r="A326" s="21"/>
      <c r="B326" s="21"/>
      <c r="D326" s="21" t="s">
        <v>300</v>
      </c>
      <c r="E326" s="21" t="s">
        <v>301</v>
      </c>
      <c r="G326" s="17">
        <v>1</v>
      </c>
      <c r="H326" s="93"/>
      <c r="I326" s="17">
        <v>2</v>
      </c>
      <c r="V326"/>
      <c r="W326"/>
      <c r="X326"/>
      <c r="Y326"/>
      <c r="Z326"/>
      <c r="AA326"/>
      <c r="AB326"/>
      <c r="AC326"/>
    </row>
    <row r="327" spans="1:29" s="49" customFormat="1" ht="21.75" thickBot="1" x14ac:dyDescent="0.4">
      <c r="A327" s="48"/>
      <c r="B327" s="48"/>
      <c r="D327" s="48"/>
      <c r="E327" s="48"/>
      <c r="H327" s="94"/>
      <c r="V327" s="76"/>
      <c r="W327" s="76"/>
      <c r="X327" s="76"/>
      <c r="Y327" s="76"/>
      <c r="Z327" s="76"/>
      <c r="AA327" s="76"/>
      <c r="AB327" s="76"/>
      <c r="AC327" s="76"/>
    </row>
    <row r="328" spans="1:29" s="47" customFormat="1" x14ac:dyDescent="0.35">
      <c r="A328" s="46" t="s">
        <v>813</v>
      </c>
      <c r="B328" s="46" t="s">
        <v>220</v>
      </c>
      <c r="C328" s="54">
        <v>5075</v>
      </c>
      <c r="D328" s="46" t="s">
        <v>401</v>
      </c>
      <c r="E328" s="46" t="s">
        <v>814</v>
      </c>
      <c r="F328" s="47" t="s">
        <v>819</v>
      </c>
      <c r="G328" s="47">
        <v>2</v>
      </c>
      <c r="H328" s="95">
        <v>46205</v>
      </c>
      <c r="V328"/>
      <c r="W328"/>
      <c r="X328"/>
      <c r="Y328"/>
      <c r="Z328"/>
      <c r="AA328"/>
      <c r="AB328"/>
      <c r="AC328"/>
    </row>
    <row r="329" spans="1:29" s="17" customFormat="1" x14ac:dyDescent="0.35">
      <c r="A329" s="21"/>
      <c r="B329" s="21"/>
      <c r="D329" s="21" t="s">
        <v>815</v>
      </c>
      <c r="E329" s="21" t="s">
        <v>816</v>
      </c>
      <c r="G329" s="17">
        <v>2</v>
      </c>
      <c r="H329" s="93"/>
      <c r="J329" s="17">
        <v>1</v>
      </c>
      <c r="V329"/>
      <c r="W329"/>
      <c r="X329"/>
      <c r="Y329"/>
      <c r="Z329"/>
      <c r="AA329"/>
      <c r="AB329"/>
      <c r="AC329"/>
    </row>
    <row r="330" spans="1:29" s="17" customFormat="1" x14ac:dyDescent="0.35">
      <c r="A330" s="21"/>
      <c r="B330" s="21"/>
      <c r="D330" s="21" t="s">
        <v>93</v>
      </c>
      <c r="E330" s="21" t="s">
        <v>14</v>
      </c>
      <c r="G330" s="17">
        <v>2</v>
      </c>
      <c r="H330" s="93"/>
      <c r="J330" s="17">
        <v>2</v>
      </c>
      <c r="V330"/>
      <c r="W330"/>
      <c r="X330"/>
      <c r="Y330"/>
      <c r="Z330"/>
      <c r="AA330"/>
      <c r="AB330"/>
      <c r="AC330"/>
    </row>
    <row r="331" spans="1:29" s="17" customFormat="1" x14ac:dyDescent="0.35">
      <c r="A331" s="21"/>
      <c r="B331" s="21"/>
      <c r="D331" s="21" t="s">
        <v>123</v>
      </c>
      <c r="E331" s="21" t="s">
        <v>25</v>
      </c>
      <c r="G331" s="17">
        <v>2</v>
      </c>
      <c r="H331" s="93"/>
      <c r="J331" s="17">
        <v>2</v>
      </c>
      <c r="V331"/>
      <c r="W331"/>
      <c r="X331"/>
      <c r="Y331"/>
      <c r="Z331"/>
      <c r="AA331"/>
      <c r="AB331"/>
      <c r="AC331"/>
    </row>
    <row r="332" spans="1:29" s="17" customFormat="1" x14ac:dyDescent="0.35">
      <c r="A332" s="21"/>
      <c r="B332" s="21"/>
      <c r="D332" s="21" t="s">
        <v>87</v>
      </c>
      <c r="E332" s="21" t="s">
        <v>21</v>
      </c>
      <c r="G332" s="17">
        <v>2</v>
      </c>
      <c r="H332" s="93"/>
      <c r="J332" s="17">
        <v>2</v>
      </c>
      <c r="V332"/>
      <c r="W332"/>
      <c r="X332"/>
      <c r="Y332"/>
      <c r="Z332"/>
      <c r="AA332"/>
      <c r="AB332"/>
      <c r="AC332"/>
    </row>
    <row r="333" spans="1:29" s="17" customFormat="1" x14ac:dyDescent="0.35">
      <c r="A333" s="21"/>
      <c r="B333" s="21"/>
      <c r="D333" s="21" t="s">
        <v>75</v>
      </c>
      <c r="E333" s="21" t="s">
        <v>55</v>
      </c>
      <c r="G333" s="17">
        <v>2</v>
      </c>
      <c r="H333" s="93"/>
      <c r="J333" s="17">
        <v>2</v>
      </c>
      <c r="V333"/>
      <c r="W333"/>
      <c r="X333"/>
      <c r="Y333"/>
      <c r="Z333"/>
      <c r="AA333"/>
      <c r="AB333"/>
      <c r="AC333"/>
    </row>
    <row r="334" spans="1:29" s="17" customFormat="1" x14ac:dyDescent="0.35">
      <c r="A334" s="21"/>
      <c r="B334" s="21"/>
      <c r="D334" s="21" t="s">
        <v>817</v>
      </c>
      <c r="E334" s="21" t="s">
        <v>818</v>
      </c>
      <c r="G334" s="17">
        <v>48</v>
      </c>
      <c r="H334" s="93"/>
      <c r="V334"/>
      <c r="W334"/>
      <c r="X334"/>
      <c r="Y334"/>
      <c r="Z334"/>
      <c r="AA334"/>
      <c r="AB334"/>
      <c r="AC334"/>
    </row>
    <row r="335" spans="1:29" s="49" customFormat="1" ht="21.75" thickBot="1" x14ac:dyDescent="0.4">
      <c r="A335" s="48"/>
      <c r="B335" s="48"/>
      <c r="D335" s="48"/>
      <c r="E335" s="48"/>
      <c r="H335" s="94"/>
      <c r="V335" s="76"/>
      <c r="W335" s="76"/>
      <c r="X335" s="76"/>
      <c r="Y335" s="76"/>
      <c r="Z335" s="76"/>
      <c r="AA335" s="76"/>
      <c r="AB335" s="76"/>
      <c r="AC335" s="76"/>
    </row>
    <row r="336" spans="1:29" s="47" customFormat="1" x14ac:dyDescent="0.35">
      <c r="A336" s="46" t="s">
        <v>813</v>
      </c>
      <c r="B336" s="46" t="s">
        <v>220</v>
      </c>
      <c r="C336" s="54">
        <v>5076</v>
      </c>
      <c r="D336" s="46" t="s">
        <v>820</v>
      </c>
      <c r="E336" s="46" t="s">
        <v>821</v>
      </c>
      <c r="F336" s="47" t="s">
        <v>822</v>
      </c>
      <c r="G336" s="47">
        <v>2</v>
      </c>
      <c r="H336" s="95">
        <v>46205</v>
      </c>
      <c r="V336"/>
      <c r="W336"/>
      <c r="X336"/>
      <c r="Y336"/>
      <c r="Z336"/>
      <c r="AA336"/>
      <c r="AB336"/>
      <c r="AC336"/>
    </row>
    <row r="337" spans="1:29" s="17" customFormat="1" x14ac:dyDescent="0.35">
      <c r="A337" s="21"/>
      <c r="B337" s="21"/>
      <c r="D337" s="21" t="s">
        <v>491</v>
      </c>
      <c r="E337" s="21" t="s">
        <v>492</v>
      </c>
      <c r="G337" s="17">
        <v>2</v>
      </c>
      <c r="H337" s="93"/>
      <c r="V337"/>
      <c r="W337"/>
      <c r="X337"/>
      <c r="Y337"/>
      <c r="Z337"/>
      <c r="AA337"/>
      <c r="AB337"/>
      <c r="AC337"/>
    </row>
    <row r="338" spans="1:29" s="17" customFormat="1" x14ac:dyDescent="0.35">
      <c r="A338" s="21"/>
      <c r="B338" s="21"/>
      <c r="D338" s="21" t="s">
        <v>93</v>
      </c>
      <c r="E338" s="21" t="s">
        <v>14</v>
      </c>
      <c r="G338" s="17">
        <v>2</v>
      </c>
      <c r="H338" s="93"/>
      <c r="I338" s="17">
        <v>1</v>
      </c>
      <c r="J338" s="17">
        <v>1</v>
      </c>
      <c r="V338"/>
      <c r="W338"/>
      <c r="X338"/>
      <c r="Y338"/>
      <c r="Z338"/>
      <c r="AA338"/>
      <c r="AB338"/>
      <c r="AC338"/>
    </row>
    <row r="339" spans="1:29" s="17" customFormat="1" x14ac:dyDescent="0.35">
      <c r="A339" s="21"/>
      <c r="B339" s="21"/>
      <c r="D339" s="21" t="s">
        <v>123</v>
      </c>
      <c r="E339" s="21" t="s">
        <v>25</v>
      </c>
      <c r="G339" s="17">
        <v>2</v>
      </c>
      <c r="H339" s="93"/>
      <c r="I339" s="17">
        <v>4</v>
      </c>
      <c r="J339" s="17">
        <v>1</v>
      </c>
      <c r="V339"/>
      <c r="W339"/>
      <c r="X339"/>
      <c r="Y339"/>
      <c r="Z339"/>
      <c r="AA339"/>
      <c r="AB339"/>
      <c r="AC339"/>
    </row>
    <row r="340" spans="1:29" s="17" customFormat="1" x14ac:dyDescent="0.35">
      <c r="A340" s="21"/>
      <c r="B340" s="21"/>
      <c r="D340" s="21" t="s">
        <v>87</v>
      </c>
      <c r="E340" s="21" t="s">
        <v>21</v>
      </c>
      <c r="G340" s="17">
        <v>2</v>
      </c>
      <c r="H340" s="93"/>
      <c r="I340" s="17">
        <v>4</v>
      </c>
      <c r="J340" s="17">
        <v>1</v>
      </c>
      <c r="V340"/>
      <c r="W340"/>
      <c r="X340"/>
      <c r="Y340"/>
      <c r="Z340"/>
      <c r="AA340"/>
      <c r="AB340"/>
      <c r="AC340"/>
    </row>
    <row r="341" spans="1:29" s="17" customFormat="1" x14ac:dyDescent="0.35">
      <c r="A341" s="21"/>
      <c r="B341" s="21"/>
      <c r="D341" s="21" t="s">
        <v>75</v>
      </c>
      <c r="E341" s="21" t="s">
        <v>55</v>
      </c>
      <c r="G341" s="17">
        <v>2</v>
      </c>
      <c r="H341" s="93"/>
      <c r="I341" s="17">
        <v>4</v>
      </c>
      <c r="J341" s="17">
        <v>1</v>
      </c>
      <c r="V341"/>
      <c r="W341"/>
      <c r="X341"/>
      <c r="Y341"/>
      <c r="Z341"/>
      <c r="AA341"/>
      <c r="AB341"/>
      <c r="AC341"/>
    </row>
    <row r="342" spans="1:29" s="17" customFormat="1" x14ac:dyDescent="0.35">
      <c r="A342" s="21"/>
      <c r="B342" s="21"/>
      <c r="D342" s="21" t="s">
        <v>817</v>
      </c>
      <c r="E342" s="21" t="s">
        <v>818</v>
      </c>
      <c r="G342" s="17">
        <v>48</v>
      </c>
      <c r="H342" s="93"/>
      <c r="V342"/>
      <c r="W342"/>
      <c r="X342"/>
      <c r="Y342"/>
      <c r="Z342"/>
      <c r="AA342"/>
      <c r="AB342"/>
      <c r="AC342"/>
    </row>
    <row r="343" spans="1:29" s="49" customFormat="1" ht="21.75" thickBot="1" x14ac:dyDescent="0.4">
      <c r="A343" s="48"/>
      <c r="B343" s="48"/>
      <c r="D343" s="48"/>
      <c r="E343" s="48"/>
      <c r="H343" s="94"/>
      <c r="V343" s="76"/>
      <c r="W343" s="76"/>
      <c r="X343" s="76"/>
      <c r="Y343" s="76"/>
      <c r="Z343" s="76"/>
      <c r="AA343" s="76"/>
      <c r="AB343" s="76"/>
      <c r="AC343" s="76"/>
    </row>
    <row r="344" spans="1:29" s="47" customFormat="1" x14ac:dyDescent="0.35">
      <c r="A344" s="46" t="s">
        <v>823</v>
      </c>
      <c r="B344" s="46" t="s">
        <v>690</v>
      </c>
      <c r="C344" s="51">
        <v>5077</v>
      </c>
      <c r="D344" s="46" t="s">
        <v>393</v>
      </c>
      <c r="E344" s="46" t="s">
        <v>465</v>
      </c>
      <c r="F344" s="47" t="s">
        <v>831</v>
      </c>
      <c r="G344" s="47">
        <v>2</v>
      </c>
      <c r="H344" s="95">
        <v>46205</v>
      </c>
      <c r="V344"/>
      <c r="W344"/>
      <c r="X344"/>
      <c r="Y344"/>
      <c r="Z344"/>
      <c r="AA344"/>
      <c r="AB344"/>
      <c r="AC344"/>
    </row>
    <row r="345" spans="1:29" s="17" customFormat="1" x14ac:dyDescent="0.35">
      <c r="A345" s="21"/>
      <c r="B345" s="21"/>
      <c r="D345" s="21" t="s">
        <v>141</v>
      </c>
      <c r="E345" s="21" t="s">
        <v>151</v>
      </c>
      <c r="F345" s="17" t="s">
        <v>303</v>
      </c>
      <c r="G345" s="17">
        <v>2</v>
      </c>
      <c r="H345" s="93"/>
      <c r="V345"/>
      <c r="W345"/>
      <c r="X345"/>
      <c r="Y345"/>
      <c r="Z345"/>
      <c r="AA345"/>
      <c r="AB345"/>
      <c r="AC345"/>
    </row>
    <row r="346" spans="1:29" s="17" customFormat="1" x14ac:dyDescent="0.35">
      <c r="A346" s="21"/>
      <c r="B346" s="21"/>
      <c r="D346" s="21" t="s">
        <v>77</v>
      </c>
      <c r="E346" s="21" t="s">
        <v>20</v>
      </c>
      <c r="G346" s="17">
        <v>2</v>
      </c>
      <c r="H346" s="93"/>
      <c r="V346"/>
      <c r="W346"/>
      <c r="X346"/>
      <c r="Y346"/>
      <c r="Z346"/>
      <c r="AA346"/>
      <c r="AB346"/>
      <c r="AC346"/>
    </row>
    <row r="347" spans="1:29" s="17" customFormat="1" x14ac:dyDescent="0.35">
      <c r="A347" s="21"/>
      <c r="B347" s="21"/>
      <c r="D347" s="21" t="s">
        <v>397</v>
      </c>
      <c r="E347" s="21" t="s">
        <v>824</v>
      </c>
      <c r="G347" s="17">
        <v>4</v>
      </c>
      <c r="H347" s="93"/>
      <c r="V347"/>
      <c r="W347"/>
      <c r="X347"/>
      <c r="Y347"/>
      <c r="Z347"/>
      <c r="AA347"/>
      <c r="AB347"/>
      <c r="AC347"/>
    </row>
    <row r="348" spans="1:29" s="17" customFormat="1" x14ac:dyDescent="0.35">
      <c r="A348" s="21"/>
      <c r="B348" s="21"/>
      <c r="D348" s="21" t="s">
        <v>395</v>
      </c>
      <c r="E348" s="21" t="s">
        <v>825</v>
      </c>
      <c r="G348" s="17">
        <v>4</v>
      </c>
      <c r="H348" s="93"/>
      <c r="V348"/>
      <c r="W348"/>
      <c r="X348"/>
      <c r="Y348"/>
      <c r="Z348"/>
      <c r="AA348"/>
      <c r="AB348"/>
      <c r="AC348"/>
    </row>
    <row r="349" spans="1:29" s="17" customFormat="1" x14ac:dyDescent="0.35">
      <c r="A349" s="21"/>
      <c r="B349" s="21"/>
      <c r="D349" s="21" t="s">
        <v>396</v>
      </c>
      <c r="E349" s="21" t="s">
        <v>826</v>
      </c>
      <c r="G349" s="17">
        <v>4</v>
      </c>
      <c r="H349" s="93"/>
      <c r="V349"/>
      <c r="W349"/>
      <c r="X349"/>
      <c r="Y349"/>
      <c r="Z349"/>
      <c r="AA349"/>
      <c r="AB349"/>
      <c r="AC349"/>
    </row>
    <row r="350" spans="1:29" s="17" customFormat="1" x14ac:dyDescent="0.35">
      <c r="A350" s="21"/>
      <c r="B350" s="21"/>
      <c r="D350" s="21" t="s">
        <v>400</v>
      </c>
      <c r="E350" s="21" t="s">
        <v>827</v>
      </c>
      <c r="G350" s="17">
        <v>2</v>
      </c>
      <c r="H350" s="93"/>
      <c r="V350"/>
      <c r="W350"/>
      <c r="X350"/>
      <c r="Y350"/>
      <c r="Z350"/>
      <c r="AA350"/>
      <c r="AB350"/>
      <c r="AC350"/>
    </row>
    <row r="351" spans="1:29" s="17" customFormat="1" x14ac:dyDescent="0.35">
      <c r="A351" s="21"/>
      <c r="B351" s="21"/>
      <c r="D351" s="21" t="s">
        <v>399</v>
      </c>
      <c r="E351" s="21" t="s">
        <v>689</v>
      </c>
      <c r="G351" s="17">
        <v>1</v>
      </c>
      <c r="H351" s="93"/>
      <c r="V351"/>
      <c r="W351"/>
      <c r="X351"/>
      <c r="Y351"/>
      <c r="Z351"/>
      <c r="AA351"/>
      <c r="AB351"/>
      <c r="AC351"/>
    </row>
    <row r="352" spans="1:29" s="17" customFormat="1" x14ac:dyDescent="0.35">
      <c r="A352" s="21"/>
      <c r="B352" s="21"/>
      <c r="D352" s="21" t="s">
        <v>398</v>
      </c>
      <c r="E352" s="21" t="s">
        <v>828</v>
      </c>
      <c r="G352" s="17">
        <v>2</v>
      </c>
      <c r="H352" s="93"/>
      <c r="V352"/>
      <c r="W352"/>
      <c r="X352"/>
      <c r="Y352"/>
      <c r="Z352"/>
      <c r="AA352"/>
      <c r="AB352"/>
      <c r="AC352"/>
    </row>
    <row r="353" spans="1:29" s="17" customFormat="1" x14ac:dyDescent="0.35">
      <c r="A353" s="21"/>
      <c r="B353" s="21"/>
      <c r="D353" s="21" t="s">
        <v>829</v>
      </c>
      <c r="E353" s="21" t="s">
        <v>830</v>
      </c>
      <c r="G353" s="17">
        <v>2</v>
      </c>
      <c r="H353" s="93"/>
      <c r="V353"/>
      <c r="W353"/>
      <c r="X353"/>
      <c r="Y353"/>
      <c r="Z353"/>
      <c r="AA353"/>
      <c r="AB353"/>
      <c r="AC353"/>
    </row>
    <row r="354" spans="1:29" s="17" customFormat="1" x14ac:dyDescent="0.35">
      <c r="A354" s="21"/>
      <c r="B354" s="21"/>
      <c r="D354" s="21" t="s">
        <v>94</v>
      </c>
      <c r="E354" s="21" t="s">
        <v>18</v>
      </c>
      <c r="G354" s="17">
        <v>48</v>
      </c>
      <c r="H354" s="93"/>
      <c r="V354"/>
      <c r="W354"/>
      <c r="X354"/>
      <c r="Y354"/>
      <c r="Z354"/>
      <c r="AA354"/>
      <c r="AB354"/>
      <c r="AC354"/>
    </row>
    <row r="355" spans="1:29" s="49" customFormat="1" ht="21.75" thickBot="1" x14ac:dyDescent="0.4">
      <c r="A355" s="48"/>
      <c r="B355" s="48"/>
      <c r="D355" s="48"/>
      <c r="E355" s="48"/>
      <c r="H355" s="94"/>
      <c r="V355" s="76"/>
      <c r="W355" s="76"/>
      <c r="X355" s="76"/>
      <c r="Y355" s="76"/>
      <c r="Z355" s="76"/>
      <c r="AA355" s="76"/>
      <c r="AB355" s="76"/>
      <c r="AC355" s="76"/>
    </row>
    <row r="356" spans="1:29" s="47" customFormat="1" x14ac:dyDescent="0.35">
      <c r="A356" s="46" t="s">
        <v>74</v>
      </c>
      <c r="B356" s="46" t="s">
        <v>226</v>
      </c>
      <c r="C356" s="54">
        <v>5078</v>
      </c>
      <c r="D356" s="46"/>
      <c r="E356" s="46" t="s">
        <v>832</v>
      </c>
      <c r="F356" s="47" t="s">
        <v>347</v>
      </c>
      <c r="G356" s="47">
        <v>1</v>
      </c>
      <c r="H356" s="95">
        <v>46205</v>
      </c>
      <c r="V356"/>
      <c r="W356"/>
      <c r="X356"/>
      <c r="Y356"/>
      <c r="Z356"/>
      <c r="AA356"/>
      <c r="AB356"/>
      <c r="AC356"/>
    </row>
    <row r="357" spans="1:29" s="17" customFormat="1" x14ac:dyDescent="0.35">
      <c r="A357" s="21"/>
      <c r="B357" s="21"/>
      <c r="D357" s="21"/>
      <c r="E357" s="21" t="s">
        <v>833</v>
      </c>
      <c r="G357" s="17">
        <v>1</v>
      </c>
      <c r="H357" s="93"/>
      <c r="V357"/>
      <c r="W357"/>
      <c r="X357"/>
      <c r="Y357"/>
      <c r="Z357"/>
      <c r="AA357"/>
      <c r="AB357"/>
      <c r="AC357"/>
    </row>
    <row r="358" spans="1:29" s="17" customFormat="1" x14ac:dyDescent="0.35">
      <c r="A358" s="21"/>
      <c r="B358" s="21"/>
      <c r="D358" s="21" t="s">
        <v>76</v>
      </c>
      <c r="E358" s="21" t="s">
        <v>150</v>
      </c>
      <c r="G358" s="17">
        <v>1</v>
      </c>
      <c r="H358" s="93"/>
      <c r="L358" s="17">
        <v>0.25</v>
      </c>
      <c r="Q358" s="17">
        <v>0.25</v>
      </c>
      <c r="V358"/>
      <c r="W358"/>
      <c r="X358"/>
      <c r="Y358"/>
      <c r="Z358"/>
      <c r="AA358"/>
      <c r="AB358"/>
      <c r="AC358"/>
    </row>
    <row r="359" spans="1:29" s="17" customFormat="1" x14ac:dyDescent="0.35">
      <c r="A359" s="21"/>
      <c r="B359" s="21"/>
      <c r="D359" s="21" t="s">
        <v>103</v>
      </c>
      <c r="E359" s="21" t="s">
        <v>70</v>
      </c>
      <c r="G359" s="17">
        <v>1</v>
      </c>
      <c r="H359" s="93"/>
      <c r="Q359" s="17">
        <v>1</v>
      </c>
      <c r="V359"/>
      <c r="W359"/>
      <c r="X359"/>
      <c r="Y359"/>
      <c r="Z359"/>
      <c r="AA359"/>
      <c r="AB359"/>
      <c r="AC359"/>
    </row>
    <row r="360" spans="1:29" s="17" customFormat="1" x14ac:dyDescent="0.35">
      <c r="A360" s="21"/>
      <c r="B360" s="21"/>
      <c r="D360" s="21" t="s">
        <v>77</v>
      </c>
      <c r="E360" s="21" t="s">
        <v>20</v>
      </c>
      <c r="G360" s="17">
        <v>1</v>
      </c>
      <c r="H360" s="93"/>
      <c r="V360"/>
      <c r="W360"/>
      <c r="X360"/>
      <c r="Y360"/>
      <c r="Z360"/>
      <c r="AA360"/>
      <c r="AB360"/>
      <c r="AC360"/>
    </row>
    <row r="361" spans="1:29" s="17" customFormat="1" x14ac:dyDescent="0.35">
      <c r="A361" s="21"/>
      <c r="B361" s="21"/>
      <c r="D361" s="21" t="s">
        <v>93</v>
      </c>
      <c r="E361" s="21" t="s">
        <v>14</v>
      </c>
      <c r="G361" s="17">
        <v>1</v>
      </c>
      <c r="H361" s="93"/>
      <c r="Q361" s="17">
        <v>1</v>
      </c>
      <c r="V361"/>
      <c r="W361"/>
      <c r="X361"/>
      <c r="Y361"/>
      <c r="Z361"/>
      <c r="AA361"/>
      <c r="AB361"/>
      <c r="AC361"/>
    </row>
    <row r="362" spans="1:29" s="17" customFormat="1" x14ac:dyDescent="0.35">
      <c r="A362" s="21"/>
      <c r="B362" s="21"/>
      <c r="D362" s="21" t="s">
        <v>123</v>
      </c>
      <c r="E362" s="21" t="s">
        <v>25</v>
      </c>
      <c r="G362" s="17">
        <v>1</v>
      </c>
      <c r="H362" s="93"/>
      <c r="L362" s="17">
        <v>1</v>
      </c>
      <c r="V362"/>
      <c r="W362"/>
      <c r="X362"/>
      <c r="Y362"/>
      <c r="Z362"/>
      <c r="AA362"/>
      <c r="AB362"/>
      <c r="AC362"/>
    </row>
    <row r="363" spans="1:29" s="17" customFormat="1" x14ac:dyDescent="0.35">
      <c r="A363" s="21"/>
      <c r="B363" s="21"/>
      <c r="D363" s="21" t="s">
        <v>87</v>
      </c>
      <c r="E363" s="21" t="s">
        <v>21</v>
      </c>
      <c r="G363" s="17">
        <v>1</v>
      </c>
      <c r="H363" s="93"/>
      <c r="L363" s="17">
        <v>1</v>
      </c>
      <c r="V363"/>
      <c r="W363"/>
      <c r="X363"/>
      <c r="Y363"/>
      <c r="Z363"/>
      <c r="AA363"/>
      <c r="AB363"/>
      <c r="AC363"/>
    </row>
    <row r="364" spans="1:29" s="17" customFormat="1" x14ac:dyDescent="0.35">
      <c r="A364" s="21"/>
      <c r="B364" s="21"/>
      <c r="D364" s="21" t="s">
        <v>75</v>
      </c>
      <c r="E364" s="21" t="s">
        <v>55</v>
      </c>
      <c r="G364" s="17">
        <v>1</v>
      </c>
      <c r="H364" s="93"/>
      <c r="L364" s="17">
        <v>1</v>
      </c>
      <c r="V364"/>
      <c r="W364"/>
      <c r="X364"/>
      <c r="Y364"/>
      <c r="Z364"/>
      <c r="AA364"/>
      <c r="AB364"/>
      <c r="AC364"/>
    </row>
    <row r="365" spans="1:29" s="17" customFormat="1" x14ac:dyDescent="0.35">
      <c r="A365" s="21"/>
      <c r="B365" s="21"/>
      <c r="D365" s="21" t="s">
        <v>176</v>
      </c>
      <c r="E365" s="21" t="s">
        <v>177</v>
      </c>
      <c r="G365" s="17">
        <v>24</v>
      </c>
      <c r="H365" s="93"/>
      <c r="V365"/>
      <c r="W365"/>
      <c r="X365"/>
      <c r="Y365"/>
      <c r="Z365"/>
      <c r="AA365"/>
      <c r="AB365"/>
      <c r="AC365"/>
    </row>
    <row r="366" spans="1:29" s="49" customFormat="1" ht="21.75" thickBot="1" x14ac:dyDescent="0.4">
      <c r="A366" s="48"/>
      <c r="B366" s="48"/>
      <c r="D366" s="48"/>
      <c r="E366" s="48"/>
      <c r="H366" s="94"/>
      <c r="V366" s="76"/>
      <c r="W366" s="76"/>
      <c r="X366" s="76"/>
      <c r="Y366" s="76"/>
      <c r="Z366" s="76"/>
      <c r="AA366" s="76"/>
      <c r="AB366" s="76"/>
      <c r="AC366" s="76"/>
    </row>
    <row r="367" spans="1:29" s="47" customFormat="1" x14ac:dyDescent="0.35">
      <c r="A367" s="46" t="s">
        <v>136</v>
      </c>
      <c r="B367" s="46" t="s">
        <v>789</v>
      </c>
      <c r="C367" s="54">
        <v>5079</v>
      </c>
      <c r="D367" s="46" t="s">
        <v>76</v>
      </c>
      <c r="E367" s="46" t="s">
        <v>150</v>
      </c>
      <c r="F367" s="47" t="s">
        <v>28</v>
      </c>
      <c r="G367" s="47">
        <v>1</v>
      </c>
      <c r="H367" s="95">
        <v>46206</v>
      </c>
      <c r="M367" s="47">
        <v>0.25</v>
      </c>
      <c r="O367" s="47">
        <v>0.25</v>
      </c>
      <c r="V367"/>
      <c r="W367"/>
      <c r="X367"/>
      <c r="Y367"/>
      <c r="Z367"/>
      <c r="AA367"/>
      <c r="AB367"/>
      <c r="AC367"/>
    </row>
    <row r="368" spans="1:29" s="17" customFormat="1" x14ac:dyDescent="0.35">
      <c r="A368" s="21"/>
      <c r="B368" s="21"/>
      <c r="D368" s="21" t="s">
        <v>80</v>
      </c>
      <c r="E368" s="21" t="s">
        <v>19</v>
      </c>
      <c r="G368" s="17">
        <v>1</v>
      </c>
      <c r="H368" s="93"/>
      <c r="M368" s="17">
        <v>0.5</v>
      </c>
      <c r="O368" s="17">
        <v>0.5</v>
      </c>
      <c r="V368"/>
      <c r="W368"/>
      <c r="X368"/>
      <c r="Y368"/>
      <c r="Z368"/>
      <c r="AA368"/>
      <c r="AB368"/>
      <c r="AC368"/>
    </row>
    <row r="369" spans="1:29" s="17" customFormat="1" x14ac:dyDescent="0.35">
      <c r="A369" s="21"/>
      <c r="B369" s="21"/>
      <c r="D369" s="21" t="s">
        <v>104</v>
      </c>
      <c r="E369" s="21" t="s">
        <v>17</v>
      </c>
      <c r="G369" s="17">
        <v>1</v>
      </c>
      <c r="H369" s="93"/>
      <c r="V369"/>
      <c r="W369"/>
      <c r="X369"/>
      <c r="Y369"/>
      <c r="Z369"/>
      <c r="AA369"/>
      <c r="AB369"/>
      <c r="AC369"/>
    </row>
    <row r="370" spans="1:29" s="17" customFormat="1" x14ac:dyDescent="0.35">
      <c r="A370" s="21"/>
      <c r="B370" s="21"/>
      <c r="D370" s="21" t="s">
        <v>87</v>
      </c>
      <c r="E370" s="21" t="s">
        <v>21</v>
      </c>
      <c r="G370" s="17">
        <v>1</v>
      </c>
      <c r="H370" s="93"/>
      <c r="M370" s="17">
        <v>1</v>
      </c>
      <c r="V370"/>
      <c r="W370"/>
      <c r="X370"/>
      <c r="Y370"/>
      <c r="Z370"/>
      <c r="AA370"/>
      <c r="AB370"/>
      <c r="AC370"/>
    </row>
    <row r="371" spans="1:29" s="17" customFormat="1" x14ac:dyDescent="0.35">
      <c r="A371" s="21"/>
      <c r="B371" s="21"/>
      <c r="D371" s="21" t="s">
        <v>79</v>
      </c>
      <c r="E371" s="21" t="s">
        <v>73</v>
      </c>
      <c r="G371" s="17">
        <v>2</v>
      </c>
      <c r="H371" s="93"/>
      <c r="O371" s="17">
        <v>1</v>
      </c>
      <c r="V371"/>
      <c r="W371"/>
      <c r="X371"/>
      <c r="Y371"/>
      <c r="Z371"/>
      <c r="AA371"/>
      <c r="AB371"/>
      <c r="AC371"/>
    </row>
    <row r="372" spans="1:29" s="17" customFormat="1" x14ac:dyDescent="0.35">
      <c r="A372" s="21"/>
      <c r="B372" s="21"/>
      <c r="D372" s="21" t="s">
        <v>75</v>
      </c>
      <c r="E372" s="21" t="s">
        <v>55</v>
      </c>
      <c r="G372" s="17">
        <v>1</v>
      </c>
      <c r="H372" s="93"/>
      <c r="O372" s="17">
        <v>1</v>
      </c>
      <c r="V372"/>
      <c r="W372"/>
      <c r="X372"/>
      <c r="Y372"/>
      <c r="Z372"/>
      <c r="AA372"/>
      <c r="AB372"/>
      <c r="AC372"/>
    </row>
    <row r="373" spans="1:29" s="17" customFormat="1" x14ac:dyDescent="0.35">
      <c r="A373" s="21"/>
      <c r="B373" s="21"/>
      <c r="D373" s="21" t="s">
        <v>94</v>
      </c>
      <c r="E373" s="21" t="s">
        <v>18</v>
      </c>
      <c r="G373" s="17">
        <v>24</v>
      </c>
      <c r="H373" s="93"/>
      <c r="V373"/>
      <c r="W373"/>
      <c r="X373"/>
      <c r="Y373"/>
      <c r="Z373"/>
      <c r="AA373"/>
      <c r="AB373"/>
      <c r="AC373"/>
    </row>
    <row r="374" spans="1:29" s="17" customFormat="1" x14ac:dyDescent="0.35">
      <c r="A374" s="21"/>
      <c r="B374" s="21"/>
      <c r="D374" s="21" t="s">
        <v>326</v>
      </c>
      <c r="E374" s="21" t="s">
        <v>327</v>
      </c>
      <c r="G374" s="17">
        <v>1</v>
      </c>
      <c r="H374" s="93"/>
      <c r="V374"/>
      <c r="W374"/>
      <c r="X374"/>
      <c r="Y374"/>
      <c r="Z374"/>
      <c r="AA374"/>
      <c r="AB374"/>
      <c r="AC374"/>
    </row>
    <row r="375" spans="1:29" s="49" customFormat="1" ht="21.75" thickBot="1" x14ac:dyDescent="0.4">
      <c r="A375" s="48"/>
      <c r="B375" s="48"/>
      <c r="D375" s="48"/>
      <c r="E375" s="48"/>
      <c r="H375" s="94"/>
      <c r="V375" s="76"/>
      <c r="W375" s="76"/>
      <c r="X375" s="76"/>
      <c r="Y375" s="76"/>
      <c r="Z375" s="76"/>
      <c r="AA375" s="76"/>
      <c r="AB375" s="76"/>
      <c r="AC375" s="76"/>
    </row>
    <row r="376" spans="1:29" s="47" customFormat="1" x14ac:dyDescent="0.35">
      <c r="A376" s="46" t="s">
        <v>675</v>
      </c>
      <c r="B376" s="46" t="s">
        <v>834</v>
      </c>
      <c r="C376" s="53">
        <v>5080</v>
      </c>
      <c r="D376" s="46" t="s">
        <v>676</v>
      </c>
      <c r="E376" s="46" t="s">
        <v>677</v>
      </c>
      <c r="F376" s="47" t="s">
        <v>835</v>
      </c>
      <c r="G376" s="47">
        <v>1</v>
      </c>
      <c r="H376" s="95">
        <v>46206</v>
      </c>
      <c r="V376"/>
      <c r="W376"/>
      <c r="X376"/>
      <c r="Y376"/>
      <c r="Z376"/>
      <c r="AA376"/>
      <c r="AB376"/>
      <c r="AC376"/>
    </row>
    <row r="377" spans="1:29" s="49" customFormat="1" ht="21.75" thickBot="1" x14ac:dyDescent="0.4">
      <c r="A377" s="48"/>
      <c r="B377" s="48"/>
      <c r="D377" s="48"/>
      <c r="E377" s="48"/>
      <c r="F377" s="56" t="s">
        <v>144</v>
      </c>
      <c r="H377" s="94"/>
      <c r="V377" s="76"/>
      <c r="W377" s="76"/>
      <c r="X377" s="76"/>
      <c r="Y377" s="76"/>
      <c r="Z377" s="76"/>
      <c r="AA377" s="76"/>
      <c r="AB377" s="76"/>
      <c r="AC377" s="76"/>
    </row>
    <row r="378" spans="1:29" s="47" customFormat="1" x14ac:dyDescent="0.35">
      <c r="A378" s="46" t="s">
        <v>670</v>
      </c>
      <c r="B378" s="46" t="s">
        <v>836</v>
      </c>
      <c r="C378" s="53">
        <v>5081</v>
      </c>
      <c r="D378" s="46" t="s">
        <v>798</v>
      </c>
      <c r="E378" s="46" t="s">
        <v>799</v>
      </c>
      <c r="F378" s="47" t="s">
        <v>841</v>
      </c>
      <c r="G378" s="47">
        <v>1</v>
      </c>
      <c r="H378" s="95">
        <v>46206</v>
      </c>
      <c r="V378"/>
      <c r="W378"/>
      <c r="X378"/>
      <c r="Y378"/>
      <c r="Z378"/>
      <c r="AA378"/>
      <c r="AB378"/>
      <c r="AC378"/>
    </row>
    <row r="379" spans="1:29" s="17" customFormat="1" x14ac:dyDescent="0.35">
      <c r="A379" s="21"/>
      <c r="B379" s="21"/>
      <c r="D379" s="21" t="s">
        <v>837</v>
      </c>
      <c r="E379" s="21" t="s">
        <v>838</v>
      </c>
      <c r="G379" s="17">
        <v>1</v>
      </c>
      <c r="H379" s="93"/>
      <c r="V379"/>
      <c r="W379"/>
      <c r="X379"/>
      <c r="Y379"/>
      <c r="Z379"/>
      <c r="AA379"/>
      <c r="AB379"/>
      <c r="AC379"/>
    </row>
    <row r="380" spans="1:29" s="17" customFormat="1" x14ac:dyDescent="0.35">
      <c r="A380" s="21"/>
      <c r="B380" s="21"/>
      <c r="D380" s="21" t="s">
        <v>839</v>
      </c>
      <c r="E380" s="21" t="s">
        <v>840</v>
      </c>
      <c r="F380" s="56" t="s">
        <v>144</v>
      </c>
      <c r="G380" s="17">
        <v>1</v>
      </c>
      <c r="H380" s="93"/>
      <c r="V380"/>
      <c r="W380"/>
      <c r="X380"/>
      <c r="Y380"/>
      <c r="Z380"/>
      <c r="AA380"/>
      <c r="AB380"/>
      <c r="AC380"/>
    </row>
    <row r="381" spans="1:29" s="49" customFormat="1" ht="21.75" thickBot="1" x14ac:dyDescent="0.4">
      <c r="A381" s="48"/>
      <c r="B381" s="48"/>
      <c r="D381" s="48"/>
      <c r="E381" s="48"/>
      <c r="H381" s="94"/>
      <c r="V381" s="76"/>
      <c r="W381" s="76"/>
      <c r="X381" s="76"/>
      <c r="Y381" s="76"/>
      <c r="Z381" s="76"/>
      <c r="AA381" s="76"/>
      <c r="AB381" s="76"/>
      <c r="AC381" s="76"/>
    </row>
    <row r="382" spans="1:29" s="47" customFormat="1" x14ac:dyDescent="0.35">
      <c r="A382" s="46" t="s">
        <v>74</v>
      </c>
      <c r="B382" s="46" t="s">
        <v>226</v>
      </c>
      <c r="C382" s="51">
        <v>5082</v>
      </c>
      <c r="D382" s="46" t="s">
        <v>842</v>
      </c>
      <c r="E382" s="46" t="s">
        <v>843</v>
      </c>
      <c r="F382" s="47" t="s">
        <v>844</v>
      </c>
      <c r="G382" s="47">
        <v>1</v>
      </c>
      <c r="H382" s="95">
        <v>46209</v>
      </c>
      <c r="V382"/>
      <c r="W382"/>
      <c r="X382"/>
      <c r="Y382"/>
      <c r="Z382"/>
      <c r="AA382"/>
      <c r="AB382"/>
      <c r="AC382"/>
    </row>
    <row r="383" spans="1:29" s="49" customFormat="1" ht="21.75" thickBot="1" x14ac:dyDescent="0.4">
      <c r="A383" s="48"/>
      <c r="B383" s="48"/>
      <c r="D383" s="48"/>
      <c r="E383" s="48"/>
      <c r="H383" s="94"/>
      <c r="V383" s="76"/>
      <c r="W383" s="76"/>
      <c r="X383" s="76"/>
      <c r="Y383" s="76"/>
      <c r="Z383" s="76"/>
      <c r="AA383" s="76"/>
      <c r="AB383" s="76"/>
      <c r="AC383" s="76"/>
    </row>
    <row r="384" spans="1:29" s="47" customFormat="1" x14ac:dyDescent="0.35">
      <c r="A384" s="46" t="s">
        <v>136</v>
      </c>
      <c r="B384" s="46" t="s">
        <v>255</v>
      </c>
      <c r="C384" s="47">
        <v>5083</v>
      </c>
      <c r="D384" s="46" t="s">
        <v>322</v>
      </c>
      <c r="E384" s="46" t="s">
        <v>323</v>
      </c>
      <c r="F384" s="56" t="s">
        <v>219</v>
      </c>
      <c r="G384" s="47">
        <v>1</v>
      </c>
      <c r="H384" s="95">
        <v>46209</v>
      </c>
      <c r="V384"/>
      <c r="W384"/>
      <c r="X384"/>
      <c r="Y384"/>
      <c r="Z384"/>
      <c r="AA384"/>
      <c r="AB384"/>
      <c r="AC384"/>
    </row>
    <row r="385" spans="1:29" s="17" customFormat="1" x14ac:dyDescent="0.35">
      <c r="A385" s="21"/>
      <c r="B385" s="21"/>
      <c r="D385" s="21" t="s">
        <v>116</v>
      </c>
      <c r="E385" s="21" t="s">
        <v>122</v>
      </c>
      <c r="G385" s="17">
        <v>1</v>
      </c>
      <c r="H385" s="93"/>
      <c r="V385"/>
      <c r="W385"/>
      <c r="X385"/>
      <c r="Y385"/>
      <c r="Z385"/>
      <c r="AA385"/>
      <c r="AB385"/>
      <c r="AC385"/>
    </row>
    <row r="386" spans="1:29" s="49" customFormat="1" ht="21.75" thickBot="1" x14ac:dyDescent="0.4">
      <c r="A386" s="48"/>
      <c r="B386" s="48"/>
      <c r="D386" s="48"/>
      <c r="E386" s="48"/>
      <c r="H386" s="94"/>
      <c r="V386" s="76"/>
      <c r="W386" s="76"/>
      <c r="X386" s="76"/>
      <c r="Y386" s="76"/>
      <c r="Z386" s="76"/>
      <c r="AA386" s="76"/>
      <c r="AB386" s="76"/>
      <c r="AC386" s="76"/>
    </row>
    <row r="387" spans="1:29" s="47" customFormat="1" x14ac:dyDescent="0.35">
      <c r="A387" s="46" t="s">
        <v>136</v>
      </c>
      <c r="B387" s="46" t="s">
        <v>223</v>
      </c>
      <c r="C387" s="54">
        <v>5084</v>
      </c>
      <c r="D387" s="46" t="s">
        <v>76</v>
      </c>
      <c r="E387" s="46" t="s">
        <v>150</v>
      </c>
      <c r="F387" s="47" t="s">
        <v>28</v>
      </c>
      <c r="G387" s="47">
        <v>1</v>
      </c>
      <c r="H387" s="95">
        <v>46209</v>
      </c>
      <c r="M387" s="47">
        <v>0.25</v>
      </c>
      <c r="Q387" s="47">
        <v>0.25</v>
      </c>
      <c r="V387"/>
      <c r="W387"/>
      <c r="X387"/>
      <c r="Y387"/>
      <c r="Z387"/>
      <c r="AA387"/>
      <c r="AB387"/>
      <c r="AC387"/>
    </row>
    <row r="388" spans="1:29" s="17" customFormat="1" x14ac:dyDescent="0.35">
      <c r="A388" s="21"/>
      <c r="B388" s="21"/>
      <c r="D388" s="21" t="s">
        <v>80</v>
      </c>
      <c r="E388" s="21" t="s">
        <v>19</v>
      </c>
      <c r="G388" s="17">
        <v>1</v>
      </c>
      <c r="H388" s="93"/>
      <c r="M388" s="17">
        <v>0.5</v>
      </c>
      <c r="Q388" s="17">
        <v>0.5</v>
      </c>
      <c r="V388"/>
      <c r="W388"/>
      <c r="X388"/>
      <c r="Y388"/>
      <c r="Z388"/>
      <c r="AA388"/>
      <c r="AB388"/>
      <c r="AC388"/>
    </row>
    <row r="389" spans="1:29" s="17" customFormat="1" x14ac:dyDescent="0.35">
      <c r="A389" s="21"/>
      <c r="B389" s="21"/>
      <c r="D389" s="21" t="s">
        <v>93</v>
      </c>
      <c r="E389" s="21" t="s">
        <v>14</v>
      </c>
      <c r="G389" s="17">
        <v>1</v>
      </c>
      <c r="H389" s="93"/>
      <c r="M389" s="17">
        <v>0.5</v>
      </c>
      <c r="Q389" s="17">
        <v>0.5</v>
      </c>
      <c r="V389"/>
      <c r="W389"/>
      <c r="X389"/>
      <c r="Y389"/>
      <c r="Z389"/>
      <c r="AA389"/>
      <c r="AB389"/>
      <c r="AC389"/>
    </row>
    <row r="390" spans="1:29" s="17" customFormat="1" x14ac:dyDescent="0.35">
      <c r="A390" s="21"/>
      <c r="B390" s="21"/>
      <c r="D390" s="21" t="s">
        <v>75</v>
      </c>
      <c r="E390" s="21" t="s">
        <v>55</v>
      </c>
      <c r="G390" s="17">
        <v>1</v>
      </c>
      <c r="H390" s="93"/>
      <c r="M390" s="17">
        <v>1</v>
      </c>
      <c r="V390"/>
      <c r="W390"/>
      <c r="X390"/>
      <c r="Y390"/>
      <c r="Z390"/>
      <c r="AA390"/>
      <c r="AB390"/>
      <c r="AC390"/>
    </row>
    <row r="391" spans="1:29" s="17" customFormat="1" x14ac:dyDescent="0.35">
      <c r="A391" s="21"/>
      <c r="B391" s="21"/>
      <c r="D391" s="21" t="s">
        <v>271</v>
      </c>
      <c r="E391" s="21" t="s">
        <v>272</v>
      </c>
      <c r="G391" s="17">
        <v>1</v>
      </c>
      <c r="H391" s="93"/>
      <c r="M391" s="17">
        <v>1</v>
      </c>
      <c r="V391"/>
      <c r="W391"/>
      <c r="X391"/>
      <c r="Y391"/>
      <c r="Z391"/>
      <c r="AA391"/>
      <c r="AB391"/>
      <c r="AC391"/>
    </row>
    <row r="392" spans="1:29" s="17" customFormat="1" x14ac:dyDescent="0.35">
      <c r="A392" s="21"/>
      <c r="B392" s="21"/>
      <c r="D392" s="21" t="s">
        <v>81</v>
      </c>
      <c r="E392" s="21" t="s">
        <v>15</v>
      </c>
      <c r="G392" s="17">
        <v>1</v>
      </c>
      <c r="H392" s="93"/>
      <c r="Q392" s="17">
        <v>1</v>
      </c>
      <c r="V392"/>
      <c r="W392"/>
      <c r="X392"/>
      <c r="Y392"/>
      <c r="Z392"/>
      <c r="AA392"/>
      <c r="AB392"/>
      <c r="AC392"/>
    </row>
    <row r="393" spans="1:29" s="17" customFormat="1" x14ac:dyDescent="0.35">
      <c r="A393" s="21"/>
      <c r="B393" s="21"/>
      <c r="D393" s="21" t="s">
        <v>544</v>
      </c>
      <c r="E393" s="21" t="s">
        <v>545</v>
      </c>
      <c r="G393" s="17">
        <v>1</v>
      </c>
      <c r="H393" s="93"/>
      <c r="V393"/>
      <c r="W393"/>
      <c r="X393"/>
      <c r="Y393"/>
      <c r="Z393"/>
      <c r="AA393"/>
      <c r="AB393"/>
      <c r="AC393"/>
    </row>
    <row r="394" spans="1:29" s="49" customFormat="1" ht="21.75" thickBot="1" x14ac:dyDescent="0.4">
      <c r="A394" s="48"/>
      <c r="B394" s="48"/>
      <c r="D394" s="48"/>
      <c r="E394" s="48"/>
      <c r="H394" s="94"/>
      <c r="V394" s="76"/>
      <c r="W394" s="76"/>
      <c r="X394" s="76"/>
      <c r="Y394" s="76"/>
      <c r="Z394" s="76"/>
      <c r="AA394" s="76"/>
      <c r="AB394" s="76"/>
      <c r="AC394" s="76"/>
    </row>
    <row r="395" spans="1:29" s="47" customFormat="1" x14ac:dyDescent="0.35">
      <c r="A395" s="46" t="s">
        <v>682</v>
      </c>
      <c r="B395" s="46" t="s">
        <v>223</v>
      </c>
      <c r="C395" s="51">
        <v>5085</v>
      </c>
      <c r="D395" s="46"/>
      <c r="E395" s="46" t="s">
        <v>845</v>
      </c>
      <c r="F395" s="47" t="s">
        <v>440</v>
      </c>
      <c r="G395" s="47">
        <v>1</v>
      </c>
      <c r="H395" s="95">
        <v>46209</v>
      </c>
      <c r="V395"/>
      <c r="W395"/>
      <c r="X395"/>
      <c r="Y395"/>
      <c r="Z395"/>
      <c r="AA395"/>
      <c r="AB395"/>
      <c r="AC395"/>
    </row>
    <row r="396" spans="1:29" s="17" customFormat="1" x14ac:dyDescent="0.35">
      <c r="A396" s="21"/>
      <c r="B396" s="21"/>
      <c r="D396" s="21" t="s">
        <v>92</v>
      </c>
      <c r="E396" s="21" t="s">
        <v>51</v>
      </c>
      <c r="G396" s="17">
        <v>1</v>
      </c>
      <c r="H396" s="93"/>
      <c r="V396"/>
      <c r="W396"/>
      <c r="X396"/>
      <c r="Y396"/>
      <c r="Z396"/>
      <c r="AA396"/>
      <c r="AB396"/>
      <c r="AC396"/>
    </row>
    <row r="397" spans="1:29" s="17" customFormat="1" x14ac:dyDescent="0.35">
      <c r="A397" s="21"/>
      <c r="B397" s="21"/>
      <c r="D397" s="21" t="s">
        <v>93</v>
      </c>
      <c r="E397" s="21" t="s">
        <v>14</v>
      </c>
      <c r="F397" s="56" t="s">
        <v>937</v>
      </c>
      <c r="G397" s="17">
        <v>1</v>
      </c>
      <c r="H397" s="93"/>
      <c r="V397"/>
      <c r="W397"/>
      <c r="X397"/>
      <c r="Y397"/>
      <c r="Z397"/>
      <c r="AA397"/>
      <c r="AB397"/>
      <c r="AC397"/>
    </row>
    <row r="398" spans="1:29" s="17" customFormat="1" x14ac:dyDescent="0.35">
      <c r="A398" s="21"/>
      <c r="B398" s="21"/>
      <c r="D398" s="21" t="s">
        <v>87</v>
      </c>
      <c r="E398" s="21" t="s">
        <v>21</v>
      </c>
      <c r="G398" s="17">
        <v>1</v>
      </c>
      <c r="H398" s="93"/>
      <c r="V398"/>
      <c r="W398"/>
      <c r="X398"/>
      <c r="Y398"/>
      <c r="Z398"/>
      <c r="AA398"/>
      <c r="AB398"/>
      <c r="AC398"/>
    </row>
    <row r="399" spans="1:29" s="17" customFormat="1" x14ac:dyDescent="0.35">
      <c r="A399" s="21"/>
      <c r="B399" s="21"/>
      <c r="D399" s="21" t="s">
        <v>79</v>
      </c>
      <c r="E399" s="21" t="s">
        <v>73</v>
      </c>
      <c r="G399" s="17">
        <v>1</v>
      </c>
      <c r="H399" s="93"/>
      <c r="V399"/>
      <c r="W399"/>
      <c r="X399"/>
      <c r="Y399"/>
      <c r="Z399"/>
      <c r="AA399"/>
      <c r="AB399"/>
      <c r="AC399"/>
    </row>
    <row r="400" spans="1:29" s="17" customFormat="1" x14ac:dyDescent="0.35">
      <c r="A400" s="21"/>
      <c r="B400" s="21"/>
      <c r="D400" s="21" t="s">
        <v>75</v>
      </c>
      <c r="E400" s="21" t="s">
        <v>55</v>
      </c>
      <c r="G400" s="17">
        <v>1</v>
      </c>
      <c r="H400" s="93"/>
      <c r="V400"/>
      <c r="W400"/>
      <c r="X400"/>
      <c r="Y400"/>
      <c r="Z400"/>
      <c r="AA400"/>
      <c r="AB400"/>
      <c r="AC400"/>
    </row>
    <row r="401" spans="1:29" s="17" customFormat="1" x14ac:dyDescent="0.35">
      <c r="A401" s="21"/>
      <c r="B401" s="21"/>
      <c r="D401" s="21" t="s">
        <v>224</v>
      </c>
      <c r="E401" s="21" t="s">
        <v>153</v>
      </c>
      <c r="G401" s="17">
        <v>1</v>
      </c>
      <c r="H401" s="93"/>
      <c r="V401"/>
      <c r="W401"/>
      <c r="X401"/>
      <c r="Y401"/>
      <c r="Z401"/>
      <c r="AA401"/>
      <c r="AB401"/>
      <c r="AC401"/>
    </row>
    <row r="402" spans="1:29" s="17" customFormat="1" x14ac:dyDescent="0.35">
      <c r="A402" s="21"/>
      <c r="B402" s="21"/>
      <c r="D402" s="21" t="s">
        <v>81</v>
      </c>
      <c r="E402" s="21" t="s">
        <v>15</v>
      </c>
      <c r="G402" s="17">
        <v>1</v>
      </c>
      <c r="H402" s="93"/>
      <c r="V402"/>
      <c r="W402"/>
      <c r="X402"/>
      <c r="Y402"/>
      <c r="Z402"/>
      <c r="AA402"/>
      <c r="AB402"/>
      <c r="AC402"/>
    </row>
    <row r="403" spans="1:29" s="17" customFormat="1" x14ac:dyDescent="0.35">
      <c r="A403" s="21"/>
      <c r="B403" s="21"/>
      <c r="D403" s="21" t="s">
        <v>210</v>
      </c>
      <c r="E403" s="21" t="s">
        <v>211</v>
      </c>
      <c r="G403" s="17">
        <v>1</v>
      </c>
      <c r="H403" s="93"/>
      <c r="V403"/>
      <c r="W403"/>
      <c r="X403"/>
      <c r="Y403"/>
      <c r="Z403"/>
      <c r="AA403"/>
      <c r="AB403"/>
      <c r="AC403"/>
    </row>
    <row r="404" spans="1:29" s="49" customFormat="1" ht="21.75" thickBot="1" x14ac:dyDescent="0.4">
      <c r="A404" s="48"/>
      <c r="B404" s="48"/>
      <c r="D404" s="48"/>
      <c r="E404" s="48"/>
      <c r="H404" s="94"/>
      <c r="V404" s="76"/>
      <c r="W404" s="76"/>
      <c r="X404" s="76"/>
      <c r="Y404" s="76"/>
      <c r="Z404" s="76"/>
      <c r="AA404" s="76"/>
      <c r="AB404" s="76"/>
      <c r="AC404" s="76"/>
    </row>
    <row r="405" spans="1:29" s="47" customFormat="1" x14ac:dyDescent="0.35">
      <c r="A405" s="46" t="s">
        <v>682</v>
      </c>
      <c r="B405" s="46" t="s">
        <v>223</v>
      </c>
      <c r="C405" s="54">
        <v>5086</v>
      </c>
      <c r="D405" s="46" t="s">
        <v>97</v>
      </c>
      <c r="E405" s="46" t="s">
        <v>24</v>
      </c>
      <c r="F405" s="47" t="s">
        <v>440</v>
      </c>
      <c r="G405" s="47">
        <v>1</v>
      </c>
      <c r="H405" s="95">
        <v>46209</v>
      </c>
      <c r="L405" s="47">
        <v>0.5</v>
      </c>
      <c r="Q405" s="47">
        <v>0.5</v>
      </c>
      <c r="V405"/>
      <c r="W405"/>
      <c r="X405"/>
      <c r="Y405"/>
      <c r="Z405"/>
      <c r="AA405"/>
      <c r="AB405"/>
      <c r="AC405"/>
    </row>
    <row r="406" spans="1:29" s="17" customFormat="1" x14ac:dyDescent="0.35">
      <c r="A406" s="21"/>
      <c r="B406" s="21"/>
      <c r="D406" s="21" t="s">
        <v>92</v>
      </c>
      <c r="E406" s="21" t="s">
        <v>51</v>
      </c>
      <c r="G406" s="17">
        <v>1</v>
      </c>
      <c r="H406" s="93"/>
      <c r="V406"/>
      <c r="W406"/>
      <c r="X406"/>
      <c r="Y406"/>
      <c r="Z406"/>
      <c r="AA406"/>
      <c r="AB406"/>
      <c r="AC406"/>
    </row>
    <row r="407" spans="1:29" s="17" customFormat="1" x14ac:dyDescent="0.35">
      <c r="A407" s="21"/>
      <c r="B407" s="21"/>
      <c r="D407" s="21" t="s">
        <v>93</v>
      </c>
      <c r="E407" s="21" t="s">
        <v>14</v>
      </c>
      <c r="G407" s="17">
        <v>1</v>
      </c>
      <c r="H407" s="93"/>
      <c r="L407" s="17">
        <v>1</v>
      </c>
      <c r="V407"/>
      <c r="W407"/>
      <c r="X407"/>
      <c r="Y407"/>
      <c r="Z407"/>
      <c r="AA407"/>
      <c r="AB407"/>
      <c r="AC407"/>
    </row>
    <row r="408" spans="1:29" s="17" customFormat="1" x14ac:dyDescent="0.35">
      <c r="A408" s="21"/>
      <c r="B408" s="21"/>
      <c r="D408" s="21" t="s">
        <v>87</v>
      </c>
      <c r="E408" s="21" t="s">
        <v>21</v>
      </c>
      <c r="G408" s="17">
        <v>1</v>
      </c>
      <c r="H408" s="93"/>
      <c r="L408" s="17">
        <v>1</v>
      </c>
      <c r="V408"/>
      <c r="W408"/>
      <c r="X408"/>
      <c r="Y408"/>
      <c r="Z408"/>
      <c r="AA408"/>
      <c r="AB408"/>
      <c r="AC408"/>
    </row>
    <row r="409" spans="1:29" s="17" customFormat="1" x14ac:dyDescent="0.35">
      <c r="A409" s="21"/>
      <c r="B409" s="21"/>
      <c r="D409" s="21" t="s">
        <v>79</v>
      </c>
      <c r="E409" s="21" t="s">
        <v>73</v>
      </c>
      <c r="G409" s="17">
        <v>1</v>
      </c>
      <c r="H409" s="93"/>
      <c r="L409" s="17">
        <v>1</v>
      </c>
      <c r="V409"/>
      <c r="W409"/>
      <c r="X409"/>
      <c r="Y409"/>
      <c r="Z409"/>
      <c r="AA409"/>
      <c r="AB409"/>
      <c r="AC409"/>
    </row>
    <row r="410" spans="1:29" s="17" customFormat="1" x14ac:dyDescent="0.35">
      <c r="A410" s="21"/>
      <c r="B410" s="21"/>
      <c r="D410" s="21" t="s">
        <v>75</v>
      </c>
      <c r="E410" s="21" t="s">
        <v>55</v>
      </c>
      <c r="G410" s="17">
        <v>1</v>
      </c>
      <c r="H410" s="93"/>
      <c r="L410" s="17">
        <v>1</v>
      </c>
      <c r="V410"/>
      <c r="W410"/>
      <c r="X410"/>
      <c r="Y410"/>
      <c r="Z410"/>
      <c r="AA410"/>
      <c r="AB410"/>
      <c r="AC410"/>
    </row>
    <row r="411" spans="1:29" s="17" customFormat="1" x14ac:dyDescent="0.35">
      <c r="A411" s="21"/>
      <c r="B411" s="21"/>
      <c r="D411" s="21" t="s">
        <v>224</v>
      </c>
      <c r="E411" s="21" t="s">
        <v>153</v>
      </c>
      <c r="G411" s="17">
        <v>1</v>
      </c>
      <c r="H411" s="93"/>
      <c r="L411" s="17">
        <v>1</v>
      </c>
      <c r="V411"/>
      <c r="W411"/>
      <c r="X411"/>
      <c r="Y411"/>
      <c r="Z411"/>
      <c r="AA411"/>
      <c r="AB411"/>
      <c r="AC411"/>
    </row>
    <row r="412" spans="1:29" s="17" customFormat="1" x14ac:dyDescent="0.35">
      <c r="A412" s="21"/>
      <c r="B412" s="21"/>
      <c r="D412" s="21" t="s">
        <v>81</v>
      </c>
      <c r="E412" s="21" t="s">
        <v>15</v>
      </c>
      <c r="G412" s="17">
        <v>1</v>
      </c>
      <c r="H412" s="93"/>
      <c r="Q412" s="17">
        <v>1</v>
      </c>
      <c r="V412"/>
      <c r="W412"/>
      <c r="X412"/>
      <c r="Y412"/>
      <c r="Z412"/>
      <c r="AA412"/>
      <c r="AB412"/>
      <c r="AC412"/>
    </row>
    <row r="413" spans="1:29" s="17" customFormat="1" x14ac:dyDescent="0.35">
      <c r="A413" s="21"/>
      <c r="B413" s="21"/>
      <c r="D413" s="21" t="s">
        <v>210</v>
      </c>
      <c r="E413" s="21" t="s">
        <v>211</v>
      </c>
      <c r="G413" s="17">
        <v>1</v>
      </c>
      <c r="H413" s="93"/>
      <c r="V413"/>
      <c r="W413"/>
      <c r="X413"/>
      <c r="Y413"/>
      <c r="Z413"/>
      <c r="AA413"/>
      <c r="AB413"/>
      <c r="AC413"/>
    </row>
    <row r="414" spans="1:29" s="49" customFormat="1" ht="21.75" thickBot="1" x14ac:dyDescent="0.4">
      <c r="A414" s="48"/>
      <c r="B414" s="48"/>
      <c r="D414" s="48"/>
      <c r="E414" s="48"/>
      <c r="H414" s="94"/>
      <c r="V414" s="76"/>
      <c r="W414" s="76"/>
      <c r="X414" s="76"/>
      <c r="Y414" s="76"/>
      <c r="Z414" s="76"/>
      <c r="AA414" s="76"/>
      <c r="AB414" s="76"/>
      <c r="AC414" s="76"/>
    </row>
    <row r="415" spans="1:29" s="47" customFormat="1" x14ac:dyDescent="0.35">
      <c r="A415" s="46" t="s">
        <v>52</v>
      </c>
      <c r="B415" s="46" t="s">
        <v>226</v>
      </c>
      <c r="C415" s="54">
        <v>5087</v>
      </c>
      <c r="D415" s="46" t="s">
        <v>76</v>
      </c>
      <c r="E415" s="46" t="s">
        <v>150</v>
      </c>
      <c r="F415" s="47" t="s">
        <v>314</v>
      </c>
      <c r="G415" s="47">
        <v>1</v>
      </c>
      <c r="H415" s="95">
        <v>46209</v>
      </c>
      <c r="L415" s="47">
        <v>0.25</v>
      </c>
      <c r="Q415" s="47">
        <v>0.25</v>
      </c>
      <c r="V415"/>
      <c r="W415"/>
      <c r="X415"/>
      <c r="Y415"/>
      <c r="Z415"/>
      <c r="AA415"/>
      <c r="AB415"/>
      <c r="AC415"/>
    </row>
    <row r="416" spans="1:29" s="17" customFormat="1" x14ac:dyDescent="0.35">
      <c r="A416" s="21"/>
      <c r="B416" s="21"/>
      <c r="D416" s="21" t="s">
        <v>106</v>
      </c>
      <c r="E416" s="21" t="s">
        <v>69</v>
      </c>
      <c r="G416" s="17">
        <v>1</v>
      </c>
      <c r="H416" s="93"/>
      <c r="L416" s="17">
        <v>1</v>
      </c>
      <c r="V416"/>
      <c r="W416"/>
      <c r="X416"/>
      <c r="Y416"/>
      <c r="Z416"/>
      <c r="AA416"/>
      <c r="AB416"/>
      <c r="AC416"/>
    </row>
    <row r="417" spans="1:29" s="17" customFormat="1" x14ac:dyDescent="0.35">
      <c r="A417" s="21"/>
      <c r="B417" s="21"/>
      <c r="D417" s="21" t="s">
        <v>77</v>
      </c>
      <c r="E417" s="21" t="s">
        <v>20</v>
      </c>
      <c r="G417" s="17">
        <v>1</v>
      </c>
      <c r="H417" s="93"/>
      <c r="V417"/>
      <c r="W417"/>
      <c r="X417"/>
      <c r="Y417"/>
      <c r="Z417"/>
      <c r="AA417"/>
      <c r="AB417"/>
      <c r="AC417"/>
    </row>
    <row r="418" spans="1:29" s="17" customFormat="1" x14ac:dyDescent="0.35">
      <c r="A418" s="21"/>
      <c r="B418" s="21"/>
      <c r="D418" s="21" t="s">
        <v>78</v>
      </c>
      <c r="E418" s="21" t="s">
        <v>16</v>
      </c>
      <c r="G418" s="17">
        <v>1</v>
      </c>
      <c r="H418" s="93"/>
      <c r="V418"/>
      <c r="W418"/>
      <c r="X418"/>
      <c r="Y418"/>
      <c r="Z418"/>
      <c r="AA418"/>
      <c r="AB418"/>
      <c r="AC418"/>
    </row>
    <row r="419" spans="1:29" s="17" customFormat="1" x14ac:dyDescent="0.35">
      <c r="A419" s="21"/>
      <c r="B419" s="21"/>
      <c r="D419" s="21" t="s">
        <v>143</v>
      </c>
      <c r="E419" s="21" t="s">
        <v>287</v>
      </c>
      <c r="G419" s="17">
        <v>1</v>
      </c>
      <c r="H419" s="93"/>
      <c r="L419" s="17">
        <v>1.5</v>
      </c>
      <c r="Q419" s="17">
        <v>1.5</v>
      </c>
      <c r="V419"/>
      <c r="W419"/>
      <c r="X419"/>
      <c r="Y419"/>
      <c r="Z419"/>
      <c r="AA419"/>
      <c r="AB419"/>
      <c r="AC419"/>
    </row>
    <row r="420" spans="1:29" s="17" customFormat="1" x14ac:dyDescent="0.35">
      <c r="A420" s="21"/>
      <c r="B420" s="21"/>
      <c r="D420" s="21" t="s">
        <v>83</v>
      </c>
      <c r="E420" s="21" t="s">
        <v>12</v>
      </c>
      <c r="G420" s="17">
        <v>1</v>
      </c>
      <c r="H420" s="93"/>
      <c r="V420"/>
      <c r="W420"/>
      <c r="X420"/>
      <c r="Y420"/>
      <c r="Z420"/>
      <c r="AA420"/>
      <c r="AB420"/>
      <c r="AC420"/>
    </row>
    <row r="421" spans="1:29" s="17" customFormat="1" x14ac:dyDescent="0.35">
      <c r="A421" s="21"/>
      <c r="B421" s="21"/>
      <c r="D421" s="21" t="s">
        <v>84</v>
      </c>
      <c r="E421" s="21" t="s">
        <v>13</v>
      </c>
      <c r="G421" s="17">
        <v>1</v>
      </c>
      <c r="H421" s="93"/>
      <c r="V421"/>
      <c r="W421"/>
      <c r="X421"/>
      <c r="Y421"/>
      <c r="Z421"/>
      <c r="AA421"/>
      <c r="AB421"/>
      <c r="AC421"/>
    </row>
    <row r="422" spans="1:29" s="17" customFormat="1" x14ac:dyDescent="0.35">
      <c r="A422" s="21"/>
      <c r="B422" s="21"/>
      <c r="D422" s="21" t="s">
        <v>846</v>
      </c>
      <c r="E422" s="21" t="s">
        <v>847</v>
      </c>
      <c r="G422" s="17">
        <v>1</v>
      </c>
      <c r="H422" s="93"/>
      <c r="L422" s="17">
        <v>1</v>
      </c>
      <c r="V422"/>
      <c r="W422"/>
      <c r="X422"/>
      <c r="Y422"/>
      <c r="Z422"/>
      <c r="AA422"/>
      <c r="AB422"/>
      <c r="AC422"/>
    </row>
    <row r="423" spans="1:29" s="17" customFormat="1" x14ac:dyDescent="0.35">
      <c r="A423" s="21"/>
      <c r="B423" s="21"/>
      <c r="D423" s="21" t="s">
        <v>87</v>
      </c>
      <c r="E423" s="21" t="s">
        <v>21</v>
      </c>
      <c r="G423" s="17">
        <v>1</v>
      </c>
      <c r="H423" s="93"/>
      <c r="L423" s="17">
        <v>1</v>
      </c>
      <c r="V423"/>
      <c r="W423"/>
      <c r="X423"/>
      <c r="Y423"/>
      <c r="Z423"/>
      <c r="AA423"/>
      <c r="AB423"/>
      <c r="AC423"/>
    </row>
    <row r="424" spans="1:29" s="17" customFormat="1" x14ac:dyDescent="0.35">
      <c r="A424" s="21"/>
      <c r="B424" s="21"/>
      <c r="D424" s="21" t="s">
        <v>108</v>
      </c>
      <c r="E424" s="21" t="s">
        <v>848</v>
      </c>
      <c r="G424" s="17">
        <v>1</v>
      </c>
      <c r="H424" s="93"/>
      <c r="Q424" s="17">
        <v>1</v>
      </c>
      <c r="V424"/>
      <c r="W424"/>
      <c r="X424"/>
      <c r="Y424"/>
      <c r="Z424"/>
      <c r="AA424"/>
      <c r="AB424"/>
      <c r="AC424"/>
    </row>
    <row r="425" spans="1:29" s="49" customFormat="1" ht="21.75" thickBot="1" x14ac:dyDescent="0.4">
      <c r="A425" s="48"/>
      <c r="B425" s="48"/>
      <c r="D425" s="48"/>
      <c r="E425" s="48"/>
      <c r="H425" s="94"/>
      <c r="V425" s="76"/>
      <c r="W425" s="76"/>
      <c r="X425" s="76"/>
      <c r="Y425" s="76"/>
      <c r="Z425" s="76"/>
      <c r="AA425" s="76"/>
      <c r="AB425" s="76"/>
      <c r="AC425" s="76"/>
    </row>
    <row r="426" spans="1:29" s="47" customFormat="1" x14ac:dyDescent="0.35">
      <c r="A426" s="46" t="s">
        <v>682</v>
      </c>
      <c r="B426" s="46" t="s">
        <v>223</v>
      </c>
      <c r="C426" s="54">
        <v>5088</v>
      </c>
      <c r="D426" s="46" t="s">
        <v>92</v>
      </c>
      <c r="E426" s="46" t="s">
        <v>51</v>
      </c>
      <c r="F426" s="47" t="s">
        <v>849</v>
      </c>
      <c r="G426" s="47">
        <v>5</v>
      </c>
      <c r="H426" s="95">
        <v>46209</v>
      </c>
      <c r="V426"/>
      <c r="W426"/>
      <c r="X426"/>
      <c r="Y426"/>
      <c r="Z426"/>
      <c r="AA426"/>
      <c r="AB426"/>
      <c r="AC426"/>
    </row>
    <row r="427" spans="1:29" s="49" customFormat="1" ht="21.75" thickBot="1" x14ac:dyDescent="0.4">
      <c r="A427" s="48"/>
      <c r="B427" s="48"/>
      <c r="D427" s="48"/>
      <c r="E427" s="48"/>
      <c r="H427" s="94"/>
      <c r="V427" s="76"/>
      <c r="W427" s="76"/>
      <c r="X427" s="76"/>
      <c r="Y427" s="76"/>
      <c r="Z427" s="76"/>
      <c r="AA427" s="76"/>
      <c r="AB427" s="76"/>
      <c r="AC427" s="76"/>
    </row>
    <row r="428" spans="1:29" s="47" customFormat="1" x14ac:dyDescent="0.35">
      <c r="A428" s="46" t="s">
        <v>486</v>
      </c>
      <c r="B428" s="46" t="s">
        <v>286</v>
      </c>
      <c r="C428" s="54">
        <v>5089</v>
      </c>
      <c r="D428" s="46" t="s">
        <v>76</v>
      </c>
      <c r="E428" s="46" t="s">
        <v>150</v>
      </c>
      <c r="F428" s="47" t="s">
        <v>853</v>
      </c>
      <c r="G428" s="47">
        <v>1</v>
      </c>
      <c r="H428" s="95">
        <v>46210</v>
      </c>
      <c r="J428" s="47">
        <v>0.5</v>
      </c>
      <c r="V428"/>
      <c r="W428"/>
      <c r="X428"/>
      <c r="Y428"/>
      <c r="Z428"/>
      <c r="AA428"/>
      <c r="AB428"/>
      <c r="AC428"/>
    </row>
    <row r="429" spans="1:29" s="17" customFormat="1" x14ac:dyDescent="0.35">
      <c r="A429" s="21"/>
      <c r="B429" s="21"/>
      <c r="D429" s="21" t="s">
        <v>106</v>
      </c>
      <c r="E429" s="21" t="s">
        <v>69</v>
      </c>
      <c r="G429" s="17">
        <v>1</v>
      </c>
      <c r="H429" s="93"/>
      <c r="J429" s="17">
        <v>1</v>
      </c>
      <c r="V429"/>
      <c r="W429"/>
      <c r="X429"/>
      <c r="Y429"/>
      <c r="Z429"/>
      <c r="AA429"/>
      <c r="AB429"/>
      <c r="AC429"/>
    </row>
    <row r="430" spans="1:29" s="17" customFormat="1" x14ac:dyDescent="0.35">
      <c r="A430" s="21"/>
      <c r="B430" s="21"/>
      <c r="D430" s="21" t="s">
        <v>77</v>
      </c>
      <c r="E430" s="21" t="s">
        <v>20</v>
      </c>
      <c r="G430" s="17">
        <v>1</v>
      </c>
      <c r="H430" s="93"/>
      <c r="V430"/>
      <c r="W430"/>
      <c r="X430"/>
      <c r="Y430"/>
      <c r="Z430"/>
      <c r="AA430"/>
      <c r="AB430"/>
      <c r="AC430"/>
    </row>
    <row r="431" spans="1:29" s="17" customFormat="1" x14ac:dyDescent="0.35">
      <c r="A431" s="21"/>
      <c r="B431" s="21"/>
      <c r="D431" s="21" t="s">
        <v>91</v>
      </c>
      <c r="E431" s="21" t="s">
        <v>27</v>
      </c>
      <c r="G431" s="17">
        <v>1</v>
      </c>
      <c r="H431" s="93"/>
      <c r="V431"/>
      <c r="W431"/>
      <c r="X431"/>
      <c r="Y431"/>
      <c r="Z431"/>
      <c r="AA431"/>
      <c r="AB431"/>
      <c r="AC431"/>
    </row>
    <row r="432" spans="1:29" s="17" customFormat="1" x14ac:dyDescent="0.35">
      <c r="A432" s="21"/>
      <c r="B432" s="21"/>
      <c r="D432" s="21" t="s">
        <v>78</v>
      </c>
      <c r="E432" s="21" t="s">
        <v>16</v>
      </c>
      <c r="G432" s="17">
        <v>1</v>
      </c>
      <c r="H432" s="93"/>
      <c r="V432"/>
      <c r="W432"/>
      <c r="X432"/>
      <c r="Y432"/>
      <c r="Z432"/>
      <c r="AA432"/>
      <c r="AB432"/>
      <c r="AC432"/>
    </row>
    <row r="433" spans="1:29" s="17" customFormat="1" x14ac:dyDescent="0.35">
      <c r="A433" s="21"/>
      <c r="B433" s="21"/>
      <c r="D433" s="21" t="s">
        <v>83</v>
      </c>
      <c r="E433" s="21" t="s">
        <v>12</v>
      </c>
      <c r="G433" s="17">
        <v>1</v>
      </c>
      <c r="H433" s="93"/>
      <c r="V433"/>
      <c r="W433"/>
      <c r="X433"/>
      <c r="Y433"/>
      <c r="Z433"/>
      <c r="AA433"/>
      <c r="AB433"/>
      <c r="AC433"/>
    </row>
    <row r="434" spans="1:29" s="17" customFormat="1" x14ac:dyDescent="0.35">
      <c r="A434" s="21"/>
      <c r="B434" s="21"/>
      <c r="D434" s="21" t="s">
        <v>84</v>
      </c>
      <c r="E434" s="21" t="s">
        <v>13</v>
      </c>
      <c r="G434" s="17">
        <v>1</v>
      </c>
      <c r="H434" s="93"/>
      <c r="V434"/>
      <c r="W434"/>
      <c r="X434"/>
      <c r="Y434"/>
      <c r="Z434"/>
      <c r="AA434"/>
      <c r="AB434"/>
      <c r="AC434"/>
    </row>
    <row r="435" spans="1:29" s="17" customFormat="1" x14ac:dyDescent="0.35">
      <c r="A435" s="21"/>
      <c r="B435" s="21"/>
      <c r="D435" s="21" t="s">
        <v>92</v>
      </c>
      <c r="E435" s="21" t="s">
        <v>51</v>
      </c>
      <c r="G435" s="17">
        <v>1</v>
      </c>
      <c r="H435" s="93"/>
      <c r="V435"/>
      <c r="W435"/>
      <c r="X435"/>
      <c r="Y435"/>
      <c r="Z435"/>
      <c r="AA435"/>
      <c r="AB435"/>
      <c r="AC435"/>
    </row>
    <row r="436" spans="1:29" s="17" customFormat="1" x14ac:dyDescent="0.35">
      <c r="A436" s="21"/>
      <c r="B436" s="21"/>
      <c r="D436" s="21" t="s">
        <v>93</v>
      </c>
      <c r="E436" s="21" t="s">
        <v>14</v>
      </c>
      <c r="G436" s="17">
        <v>1</v>
      </c>
      <c r="H436" s="93"/>
      <c r="J436" s="17">
        <v>1</v>
      </c>
      <c r="V436"/>
      <c r="W436"/>
      <c r="X436"/>
      <c r="Y436"/>
      <c r="Z436"/>
      <c r="AA436"/>
      <c r="AB436"/>
      <c r="AC436"/>
    </row>
    <row r="437" spans="1:29" s="17" customFormat="1" x14ac:dyDescent="0.35">
      <c r="A437" s="21"/>
      <c r="B437" s="21"/>
      <c r="D437" s="21" t="s">
        <v>99</v>
      </c>
      <c r="E437" s="21" t="s">
        <v>766</v>
      </c>
      <c r="G437" s="17">
        <v>1</v>
      </c>
      <c r="H437" s="93"/>
      <c r="J437" s="17">
        <v>1</v>
      </c>
      <c r="V437"/>
      <c r="W437"/>
      <c r="X437"/>
      <c r="Y437"/>
      <c r="Z437"/>
      <c r="AA437"/>
      <c r="AB437"/>
      <c r="AC437"/>
    </row>
    <row r="438" spans="1:29" s="17" customFormat="1" x14ac:dyDescent="0.35">
      <c r="A438" s="21"/>
      <c r="B438" s="21"/>
      <c r="D438" s="21" t="s">
        <v>87</v>
      </c>
      <c r="E438" s="21" t="s">
        <v>21</v>
      </c>
      <c r="G438" s="17">
        <v>1</v>
      </c>
      <c r="H438" s="93"/>
      <c r="J438" s="17">
        <v>1</v>
      </c>
      <c r="V438"/>
      <c r="W438"/>
      <c r="X438"/>
      <c r="Y438"/>
      <c r="Z438"/>
      <c r="AA438"/>
      <c r="AB438"/>
      <c r="AC438"/>
    </row>
    <row r="439" spans="1:29" s="17" customFormat="1" x14ac:dyDescent="0.35">
      <c r="A439" s="21"/>
      <c r="B439" s="21"/>
      <c r="D439" s="21" t="s">
        <v>131</v>
      </c>
      <c r="E439" s="21" t="s">
        <v>72</v>
      </c>
      <c r="G439" s="17">
        <v>2</v>
      </c>
      <c r="H439" s="93"/>
      <c r="J439" s="17">
        <v>1</v>
      </c>
      <c r="V439"/>
      <c r="W439"/>
      <c r="X439"/>
      <c r="Y439"/>
      <c r="Z439"/>
      <c r="AA439"/>
      <c r="AB439"/>
      <c r="AC439"/>
    </row>
    <row r="440" spans="1:29" s="17" customFormat="1" x14ac:dyDescent="0.35">
      <c r="A440" s="21"/>
      <c r="B440" s="21"/>
      <c r="D440" s="21" t="s">
        <v>81</v>
      </c>
      <c r="E440" s="21" t="s">
        <v>15</v>
      </c>
      <c r="G440" s="17">
        <v>1</v>
      </c>
      <c r="H440" s="93"/>
      <c r="J440" s="17">
        <v>1</v>
      </c>
      <c r="V440"/>
      <c r="W440"/>
      <c r="X440"/>
      <c r="Y440"/>
      <c r="Z440"/>
      <c r="AA440"/>
      <c r="AB440"/>
      <c r="AC440"/>
    </row>
    <row r="441" spans="1:29" s="17" customFormat="1" x14ac:dyDescent="0.35">
      <c r="A441" s="21"/>
      <c r="B441" s="21"/>
      <c r="D441" s="21" t="s">
        <v>94</v>
      </c>
      <c r="E441" s="21" t="s">
        <v>18</v>
      </c>
      <c r="G441" s="17">
        <v>24</v>
      </c>
      <c r="H441" s="93"/>
      <c r="V441"/>
      <c r="W441"/>
      <c r="X441"/>
      <c r="Y441"/>
      <c r="Z441"/>
      <c r="AA441"/>
      <c r="AB441"/>
      <c r="AC441"/>
    </row>
    <row r="442" spans="1:29" s="17" customFormat="1" x14ac:dyDescent="0.35">
      <c r="A442" s="21"/>
      <c r="B442" s="21"/>
      <c r="D442" s="21" t="s">
        <v>424</v>
      </c>
      <c r="E442" s="21" t="s">
        <v>850</v>
      </c>
      <c r="G442" s="17">
        <v>1</v>
      </c>
      <c r="H442" s="93"/>
      <c r="V442"/>
      <c r="W442"/>
      <c r="X442"/>
      <c r="Y442"/>
      <c r="Z442"/>
      <c r="AA442"/>
      <c r="AB442"/>
      <c r="AC442"/>
    </row>
    <row r="443" spans="1:29" s="17" customFormat="1" x14ac:dyDescent="0.35">
      <c r="A443" s="21"/>
      <c r="B443" s="21"/>
      <c r="D443" s="21" t="s">
        <v>212</v>
      </c>
      <c r="E443" s="21" t="s">
        <v>213</v>
      </c>
      <c r="G443" s="17">
        <v>1</v>
      </c>
      <c r="H443" s="93"/>
      <c r="V443"/>
      <c r="W443"/>
      <c r="X443"/>
      <c r="Y443"/>
      <c r="Z443"/>
      <c r="AA443"/>
      <c r="AB443"/>
      <c r="AC443"/>
    </row>
    <row r="444" spans="1:29" s="17" customFormat="1" x14ac:dyDescent="0.35">
      <c r="A444" s="21"/>
      <c r="B444" s="21"/>
      <c r="D444" s="21" t="s">
        <v>322</v>
      </c>
      <c r="E444" s="21" t="s">
        <v>323</v>
      </c>
      <c r="G444" s="17">
        <v>2</v>
      </c>
      <c r="H444" s="93"/>
      <c r="V444"/>
      <c r="W444"/>
      <c r="X444"/>
      <c r="Y444"/>
      <c r="Z444"/>
      <c r="AA444"/>
      <c r="AB444"/>
      <c r="AC444"/>
    </row>
    <row r="445" spans="1:29" s="17" customFormat="1" x14ac:dyDescent="0.35">
      <c r="A445" s="21"/>
      <c r="B445" s="21"/>
      <c r="D445" s="21" t="s">
        <v>157</v>
      </c>
      <c r="E445" s="21" t="s">
        <v>158</v>
      </c>
      <c r="G445" s="17">
        <v>2</v>
      </c>
      <c r="H445" s="93"/>
      <c r="V445"/>
      <c r="W445"/>
      <c r="X445"/>
      <c r="Y445"/>
      <c r="Z445"/>
      <c r="AA445"/>
      <c r="AB445"/>
      <c r="AC445"/>
    </row>
    <row r="446" spans="1:29" s="17" customFormat="1" x14ac:dyDescent="0.35">
      <c r="A446" s="21"/>
      <c r="B446" s="21"/>
      <c r="D446" s="21" t="s">
        <v>116</v>
      </c>
      <c r="E446" s="21" t="s">
        <v>122</v>
      </c>
      <c r="G446" s="17">
        <v>1</v>
      </c>
      <c r="H446" s="93"/>
      <c r="V446"/>
      <c r="W446"/>
      <c r="X446"/>
      <c r="Y446"/>
      <c r="Z446"/>
      <c r="AA446"/>
      <c r="AB446"/>
      <c r="AC446"/>
    </row>
    <row r="447" spans="1:29" s="17" customFormat="1" x14ac:dyDescent="0.35">
      <c r="A447" s="21"/>
      <c r="B447" s="21"/>
      <c r="D447" s="21" t="s">
        <v>95</v>
      </c>
      <c r="E447" s="21" t="s">
        <v>71</v>
      </c>
      <c r="G447" s="17">
        <v>1</v>
      </c>
      <c r="H447" s="93"/>
      <c r="V447"/>
      <c r="W447"/>
      <c r="X447"/>
      <c r="Y447"/>
      <c r="Z447"/>
      <c r="AA447"/>
      <c r="AB447"/>
      <c r="AC447"/>
    </row>
    <row r="448" spans="1:29" s="17" customFormat="1" x14ac:dyDescent="0.35">
      <c r="A448" s="21"/>
      <c r="B448" s="21"/>
      <c r="D448" s="21" t="s">
        <v>239</v>
      </c>
      <c r="E448" s="21" t="s">
        <v>240</v>
      </c>
      <c r="G448" s="17">
        <v>2</v>
      </c>
      <c r="H448" s="93"/>
      <c r="V448"/>
      <c r="W448"/>
      <c r="X448"/>
      <c r="Y448"/>
      <c r="Z448"/>
      <c r="AA448"/>
      <c r="AB448"/>
      <c r="AC448"/>
    </row>
    <row r="449" spans="1:29" s="17" customFormat="1" x14ac:dyDescent="0.35">
      <c r="A449" s="21"/>
      <c r="B449" s="21"/>
      <c r="D449" s="21" t="s">
        <v>256</v>
      </c>
      <c r="E449" s="21" t="s">
        <v>257</v>
      </c>
      <c r="G449" s="17">
        <v>1</v>
      </c>
      <c r="H449" s="93"/>
      <c r="V449"/>
      <c r="W449"/>
      <c r="X449"/>
      <c r="Y449"/>
      <c r="Z449"/>
      <c r="AA449"/>
      <c r="AB449"/>
      <c r="AC449"/>
    </row>
    <row r="450" spans="1:29" s="17" customFormat="1" x14ac:dyDescent="0.35">
      <c r="A450" s="21"/>
      <c r="B450" s="21"/>
      <c r="D450" s="21" t="s">
        <v>113</v>
      </c>
      <c r="E450" s="21" t="s">
        <v>119</v>
      </c>
      <c r="G450" s="17">
        <v>1</v>
      </c>
      <c r="H450" s="93"/>
      <c r="V450"/>
      <c r="W450"/>
      <c r="X450"/>
      <c r="Y450"/>
      <c r="Z450"/>
      <c r="AA450"/>
      <c r="AB450"/>
      <c r="AC450"/>
    </row>
    <row r="451" spans="1:29" s="17" customFormat="1" x14ac:dyDescent="0.35">
      <c r="A451" s="21"/>
      <c r="B451" s="21"/>
      <c r="D451" s="21" t="s">
        <v>115</v>
      </c>
      <c r="E451" s="21" t="s">
        <v>121</v>
      </c>
      <c r="G451" s="17">
        <v>1</v>
      </c>
      <c r="H451" s="93"/>
      <c r="V451"/>
      <c r="W451"/>
      <c r="X451"/>
      <c r="Y451"/>
      <c r="Z451"/>
      <c r="AA451"/>
      <c r="AB451"/>
      <c r="AC451"/>
    </row>
    <row r="452" spans="1:29" s="17" customFormat="1" x14ac:dyDescent="0.35">
      <c r="A452" s="21"/>
      <c r="B452" s="21"/>
      <c r="D452" s="21" t="s">
        <v>310</v>
      </c>
      <c r="E452" s="21" t="s">
        <v>311</v>
      </c>
      <c r="G452" s="17">
        <v>1</v>
      </c>
      <c r="H452" s="93"/>
      <c r="V452"/>
      <c r="W452"/>
      <c r="X452"/>
      <c r="Y452"/>
      <c r="Z452"/>
      <c r="AA452"/>
      <c r="AB452"/>
      <c r="AC452"/>
    </row>
    <row r="453" spans="1:29" s="17" customFormat="1" x14ac:dyDescent="0.35">
      <c r="A453" s="21"/>
      <c r="B453" s="21"/>
      <c r="D453" s="21" t="s">
        <v>769</v>
      </c>
      <c r="E453" s="21" t="s">
        <v>770</v>
      </c>
      <c r="G453" s="17">
        <v>1</v>
      </c>
      <c r="H453" s="93"/>
      <c r="V453"/>
      <c r="W453"/>
      <c r="X453"/>
      <c r="Y453"/>
      <c r="Z453"/>
      <c r="AA453"/>
      <c r="AB453"/>
      <c r="AC453"/>
    </row>
    <row r="454" spans="1:29" s="17" customFormat="1" x14ac:dyDescent="0.35">
      <c r="A454" s="21"/>
      <c r="B454" s="21"/>
      <c r="D454" s="21" t="s">
        <v>324</v>
      </c>
      <c r="E454" s="21" t="s">
        <v>325</v>
      </c>
      <c r="G454" s="17">
        <v>1</v>
      </c>
      <c r="H454" s="93"/>
      <c r="V454"/>
      <c r="W454"/>
      <c r="X454"/>
      <c r="Y454"/>
      <c r="Z454"/>
      <c r="AA454"/>
      <c r="AB454"/>
      <c r="AC454"/>
    </row>
    <row r="455" spans="1:29" s="17" customFormat="1" x14ac:dyDescent="0.35">
      <c r="A455" s="21"/>
      <c r="B455" s="21"/>
      <c r="D455" s="21" t="s">
        <v>851</v>
      </c>
      <c r="E455" s="21" t="s">
        <v>852</v>
      </c>
      <c r="G455" s="17">
        <v>1</v>
      </c>
      <c r="H455" s="93"/>
      <c r="V455"/>
      <c r="W455"/>
      <c r="X455"/>
      <c r="Y455"/>
      <c r="Z455"/>
      <c r="AA455"/>
      <c r="AB455"/>
      <c r="AC455"/>
    </row>
    <row r="456" spans="1:29" s="49" customFormat="1" ht="21.75" thickBot="1" x14ac:dyDescent="0.4">
      <c r="A456" s="48"/>
      <c r="B456" s="48"/>
      <c r="D456" s="48"/>
      <c r="E456" s="48"/>
      <c r="H456" s="94"/>
      <c r="V456" s="76"/>
      <c r="W456" s="76"/>
      <c r="X456" s="76"/>
      <c r="Y456" s="76"/>
      <c r="Z456" s="76"/>
      <c r="AA456" s="76"/>
      <c r="AB456" s="76"/>
      <c r="AC456" s="76"/>
    </row>
    <row r="457" spans="1:29" s="47" customFormat="1" x14ac:dyDescent="0.35">
      <c r="A457" s="46" t="s">
        <v>854</v>
      </c>
      <c r="B457" s="46" t="s">
        <v>220</v>
      </c>
      <c r="C457" s="54">
        <v>5090</v>
      </c>
      <c r="D457" s="46" t="s">
        <v>271</v>
      </c>
      <c r="E457" s="46" t="s">
        <v>855</v>
      </c>
      <c r="F457" s="47" t="s">
        <v>856</v>
      </c>
      <c r="G457" s="47">
        <v>1</v>
      </c>
      <c r="H457" s="95">
        <v>46211</v>
      </c>
      <c r="L457" s="47">
        <v>1</v>
      </c>
      <c r="V457"/>
      <c r="W457"/>
      <c r="X457"/>
      <c r="Y457"/>
      <c r="Z457"/>
      <c r="AA457"/>
      <c r="AB457"/>
      <c r="AC457"/>
    </row>
    <row r="458" spans="1:29" s="49" customFormat="1" ht="21.75" thickBot="1" x14ac:dyDescent="0.4">
      <c r="A458" s="48"/>
      <c r="B458" s="48"/>
      <c r="D458" s="48"/>
      <c r="E458" s="48"/>
      <c r="H458" s="94"/>
      <c r="V458" s="76"/>
      <c r="W458" s="76"/>
      <c r="X458" s="76"/>
      <c r="Y458" s="76"/>
      <c r="Z458" s="76"/>
      <c r="AA458" s="76"/>
      <c r="AB458" s="76"/>
      <c r="AC458" s="76"/>
    </row>
    <row r="459" spans="1:29" s="47" customFormat="1" x14ac:dyDescent="0.35">
      <c r="A459" s="46" t="s">
        <v>857</v>
      </c>
      <c r="B459" s="46" t="s">
        <v>220</v>
      </c>
      <c r="C459" s="54">
        <v>5091</v>
      </c>
      <c r="D459" s="46" t="s">
        <v>858</v>
      </c>
      <c r="E459" s="46" t="s">
        <v>859</v>
      </c>
      <c r="F459" s="47" t="s">
        <v>860</v>
      </c>
      <c r="G459" s="47">
        <v>1</v>
      </c>
      <c r="H459" s="95">
        <v>46211</v>
      </c>
      <c r="O459" s="47">
        <v>1</v>
      </c>
      <c r="V459"/>
      <c r="W459"/>
      <c r="X459"/>
      <c r="Y459"/>
      <c r="Z459"/>
      <c r="AA459"/>
      <c r="AB459"/>
      <c r="AC459"/>
    </row>
    <row r="460" spans="1:29" s="17" customFormat="1" x14ac:dyDescent="0.35">
      <c r="A460" s="21"/>
      <c r="B460" s="21"/>
      <c r="D460" s="21" t="s">
        <v>402</v>
      </c>
      <c r="E460" s="21" t="s">
        <v>403</v>
      </c>
      <c r="G460" s="17">
        <v>1</v>
      </c>
      <c r="H460" s="93"/>
      <c r="V460"/>
      <c r="W460"/>
      <c r="X460"/>
      <c r="Y460"/>
      <c r="Z460"/>
      <c r="AA460"/>
      <c r="AB460"/>
      <c r="AC460"/>
    </row>
    <row r="461" spans="1:29" s="49" customFormat="1" ht="21.75" thickBot="1" x14ac:dyDescent="0.4">
      <c r="A461" s="48"/>
      <c r="B461" s="48"/>
      <c r="D461" s="48"/>
      <c r="E461" s="48"/>
      <c r="H461" s="94"/>
      <c r="V461" s="76"/>
      <c r="W461" s="76"/>
      <c r="X461" s="76"/>
      <c r="Y461" s="76"/>
      <c r="Z461" s="76"/>
      <c r="AA461" s="76"/>
      <c r="AB461" s="76"/>
      <c r="AC461" s="76"/>
    </row>
    <row r="462" spans="1:29" s="47" customFormat="1" x14ac:dyDescent="0.35">
      <c r="A462" s="46" t="s">
        <v>675</v>
      </c>
      <c r="B462" s="46" t="s">
        <v>861</v>
      </c>
      <c r="C462" s="54">
        <v>5092</v>
      </c>
      <c r="D462" s="46" t="s">
        <v>76</v>
      </c>
      <c r="E462" s="46" t="s">
        <v>150</v>
      </c>
      <c r="G462" s="47">
        <v>1</v>
      </c>
      <c r="H462" s="95">
        <v>46211</v>
      </c>
      <c r="J462" s="47">
        <v>0.5</v>
      </c>
      <c r="V462"/>
      <c r="W462"/>
      <c r="X462"/>
      <c r="Y462"/>
      <c r="Z462"/>
      <c r="AA462"/>
      <c r="AB462"/>
      <c r="AC462"/>
    </row>
    <row r="463" spans="1:29" s="17" customFormat="1" x14ac:dyDescent="0.35">
      <c r="A463" s="21"/>
      <c r="B463" s="21"/>
      <c r="D463" s="21" t="s">
        <v>80</v>
      </c>
      <c r="E463" s="21" t="s">
        <v>19</v>
      </c>
      <c r="G463" s="17">
        <v>1</v>
      </c>
      <c r="H463" s="93"/>
      <c r="J463" s="17">
        <v>1</v>
      </c>
      <c r="V463"/>
      <c r="W463"/>
      <c r="X463"/>
      <c r="Y463"/>
      <c r="Z463"/>
      <c r="AA463"/>
      <c r="AB463"/>
      <c r="AC463"/>
    </row>
    <row r="464" spans="1:29" s="17" customFormat="1" x14ac:dyDescent="0.35">
      <c r="A464" s="21"/>
      <c r="B464" s="21"/>
      <c r="D464" s="21" t="s">
        <v>77</v>
      </c>
      <c r="E464" s="21" t="s">
        <v>20</v>
      </c>
      <c r="G464" s="17">
        <v>1</v>
      </c>
      <c r="H464" s="93"/>
      <c r="V464"/>
      <c r="W464"/>
      <c r="X464"/>
      <c r="Y464"/>
      <c r="Z464"/>
      <c r="AA464"/>
      <c r="AB464"/>
      <c r="AC464"/>
    </row>
    <row r="465" spans="1:29" s="17" customFormat="1" x14ac:dyDescent="0.35">
      <c r="A465" s="21"/>
      <c r="B465" s="21"/>
      <c r="D465" s="21" t="s">
        <v>91</v>
      </c>
      <c r="E465" s="21" t="s">
        <v>27</v>
      </c>
      <c r="G465" s="17">
        <v>1</v>
      </c>
      <c r="H465" s="93"/>
      <c r="V465"/>
      <c r="W465"/>
      <c r="X465"/>
      <c r="Y465"/>
      <c r="Z465"/>
      <c r="AA465"/>
      <c r="AB465"/>
      <c r="AC465"/>
    </row>
    <row r="466" spans="1:29" s="17" customFormat="1" x14ac:dyDescent="0.35">
      <c r="A466" s="21"/>
      <c r="B466" s="21"/>
      <c r="D466" s="21" t="s">
        <v>83</v>
      </c>
      <c r="E466" s="21" t="s">
        <v>12</v>
      </c>
      <c r="G466" s="17">
        <v>1</v>
      </c>
      <c r="H466" s="93"/>
      <c r="V466"/>
      <c r="W466"/>
      <c r="X466"/>
      <c r="Y466"/>
      <c r="Z466"/>
      <c r="AA466"/>
      <c r="AB466"/>
      <c r="AC466"/>
    </row>
    <row r="467" spans="1:29" s="17" customFormat="1" x14ac:dyDescent="0.35">
      <c r="A467" s="21"/>
      <c r="B467" s="21"/>
      <c r="D467" s="21" t="s">
        <v>84</v>
      </c>
      <c r="E467" s="21" t="s">
        <v>13</v>
      </c>
      <c r="G467" s="17">
        <v>1</v>
      </c>
      <c r="H467" s="93"/>
      <c r="V467"/>
      <c r="W467"/>
      <c r="X467"/>
      <c r="Y467"/>
      <c r="Z467"/>
      <c r="AA467"/>
      <c r="AB467"/>
      <c r="AC467"/>
    </row>
    <row r="468" spans="1:29" s="17" customFormat="1" x14ac:dyDescent="0.35">
      <c r="A468" s="21"/>
      <c r="B468" s="21"/>
      <c r="D468" s="21" t="s">
        <v>93</v>
      </c>
      <c r="E468" s="21" t="s">
        <v>14</v>
      </c>
      <c r="G468" s="17">
        <v>1</v>
      </c>
      <c r="H468" s="93"/>
      <c r="J468" s="17">
        <v>1</v>
      </c>
      <c r="V468"/>
      <c r="W468"/>
      <c r="X468"/>
      <c r="Y468"/>
      <c r="Z468"/>
      <c r="AA468"/>
      <c r="AB468"/>
      <c r="AC468"/>
    </row>
    <row r="469" spans="1:29" s="17" customFormat="1" x14ac:dyDescent="0.35">
      <c r="A469" s="21"/>
      <c r="B469" s="21"/>
      <c r="D469" s="21" t="s">
        <v>123</v>
      </c>
      <c r="E469" s="21" t="s">
        <v>25</v>
      </c>
      <c r="G469" s="17">
        <v>1</v>
      </c>
      <c r="H469" s="93"/>
      <c r="J469" s="17">
        <v>1</v>
      </c>
      <c r="V469"/>
      <c r="W469"/>
      <c r="X469"/>
      <c r="Y469"/>
      <c r="Z469"/>
      <c r="AA469"/>
      <c r="AB469"/>
      <c r="AC469"/>
    </row>
    <row r="470" spans="1:29" s="17" customFormat="1" x14ac:dyDescent="0.35">
      <c r="A470" s="21"/>
      <c r="B470" s="21"/>
      <c r="D470" s="21" t="s">
        <v>85</v>
      </c>
      <c r="E470" s="21" t="s">
        <v>22</v>
      </c>
      <c r="G470" s="17">
        <v>1</v>
      </c>
      <c r="H470" s="93"/>
      <c r="J470" s="17">
        <v>1</v>
      </c>
      <c r="V470"/>
      <c r="W470"/>
      <c r="X470"/>
      <c r="Y470"/>
      <c r="Z470"/>
      <c r="AA470"/>
      <c r="AB470"/>
      <c r="AC470"/>
    </row>
    <row r="471" spans="1:29" s="17" customFormat="1" x14ac:dyDescent="0.35">
      <c r="A471" s="21"/>
      <c r="B471" s="21"/>
      <c r="D471" s="21" t="s">
        <v>131</v>
      </c>
      <c r="E471" s="21" t="s">
        <v>72</v>
      </c>
      <c r="G471" s="17">
        <v>2</v>
      </c>
      <c r="H471" s="93"/>
      <c r="J471" s="17">
        <v>1</v>
      </c>
      <c r="V471"/>
      <c r="W471"/>
      <c r="X471"/>
      <c r="Y471"/>
      <c r="Z471"/>
      <c r="AA471"/>
      <c r="AB471"/>
      <c r="AC471"/>
    </row>
    <row r="472" spans="1:29" s="17" customFormat="1" x14ac:dyDescent="0.35">
      <c r="A472" s="21"/>
      <c r="B472" s="21"/>
      <c r="D472" s="21" t="s">
        <v>75</v>
      </c>
      <c r="E472" s="21" t="s">
        <v>55</v>
      </c>
      <c r="G472" s="17">
        <v>1</v>
      </c>
      <c r="H472" s="93"/>
      <c r="J472" s="17">
        <v>1</v>
      </c>
      <c r="V472"/>
      <c r="W472"/>
      <c r="X472"/>
      <c r="Y472"/>
      <c r="Z472"/>
      <c r="AA472"/>
      <c r="AB472"/>
      <c r="AC472"/>
    </row>
    <row r="473" spans="1:29" s="17" customFormat="1" x14ac:dyDescent="0.35">
      <c r="A473" s="21"/>
      <c r="B473" s="21"/>
      <c r="D473" s="21" t="s">
        <v>650</v>
      </c>
      <c r="E473" s="21" t="s">
        <v>651</v>
      </c>
      <c r="G473" s="17">
        <v>1</v>
      </c>
      <c r="H473" s="93"/>
      <c r="J473" s="17">
        <v>1</v>
      </c>
      <c r="V473"/>
      <c r="W473"/>
      <c r="X473"/>
      <c r="Y473"/>
      <c r="Z473"/>
      <c r="AA473"/>
      <c r="AB473"/>
      <c r="AC473"/>
    </row>
    <row r="474" spans="1:29" s="17" customFormat="1" x14ac:dyDescent="0.35">
      <c r="A474" s="21"/>
      <c r="B474" s="21"/>
      <c r="D474" s="21" t="s">
        <v>862</v>
      </c>
      <c r="E474" s="21" t="s">
        <v>863</v>
      </c>
      <c r="G474" s="17">
        <v>1</v>
      </c>
      <c r="H474" s="93"/>
      <c r="V474"/>
      <c r="W474"/>
      <c r="X474"/>
      <c r="Y474"/>
      <c r="Z474"/>
      <c r="AA474"/>
      <c r="AB474"/>
      <c r="AC474"/>
    </row>
    <row r="475" spans="1:29" s="17" customFormat="1" x14ac:dyDescent="0.35">
      <c r="A475" s="21"/>
      <c r="B475" s="21"/>
      <c r="D475" s="21" t="s">
        <v>81</v>
      </c>
      <c r="E475" s="21" t="s">
        <v>15</v>
      </c>
      <c r="G475" s="17">
        <v>1</v>
      </c>
      <c r="H475" s="93"/>
      <c r="P475" s="17">
        <v>1</v>
      </c>
      <c r="V475"/>
      <c r="W475"/>
      <c r="X475"/>
      <c r="Y475"/>
      <c r="Z475"/>
      <c r="AA475"/>
      <c r="AB475"/>
      <c r="AC475"/>
    </row>
    <row r="476" spans="1:29" s="17" customFormat="1" x14ac:dyDescent="0.35">
      <c r="A476" s="21"/>
      <c r="B476" s="21"/>
      <c r="D476" s="21" t="s">
        <v>94</v>
      </c>
      <c r="E476" s="21" t="s">
        <v>18</v>
      </c>
      <c r="G476" s="17">
        <v>24</v>
      </c>
      <c r="H476" s="93"/>
      <c r="V476"/>
      <c r="W476"/>
      <c r="X476"/>
      <c r="Y476"/>
      <c r="Z476"/>
      <c r="AA476"/>
      <c r="AB476"/>
      <c r="AC476"/>
    </row>
    <row r="477" spans="1:29" s="17" customFormat="1" x14ac:dyDescent="0.35">
      <c r="A477" s="21"/>
      <c r="B477" s="21"/>
      <c r="D477" s="21" t="s">
        <v>212</v>
      </c>
      <c r="E477" s="21" t="s">
        <v>213</v>
      </c>
      <c r="G477" s="17">
        <v>1</v>
      </c>
      <c r="H477" s="93"/>
      <c r="V477"/>
      <c r="W477"/>
      <c r="X477"/>
      <c r="Y477"/>
      <c r="Z477"/>
      <c r="AA477"/>
      <c r="AB477"/>
      <c r="AC477"/>
    </row>
    <row r="478" spans="1:29" s="17" customFormat="1" x14ac:dyDescent="0.35">
      <c r="A478" s="21"/>
      <c r="B478" s="21"/>
      <c r="D478" s="21" t="s">
        <v>864</v>
      </c>
      <c r="E478" s="21" t="s">
        <v>865</v>
      </c>
      <c r="G478" s="17">
        <v>1</v>
      </c>
      <c r="H478" s="93"/>
      <c r="V478"/>
      <c r="W478"/>
      <c r="X478"/>
      <c r="Y478"/>
      <c r="Z478"/>
      <c r="AA478"/>
      <c r="AB478"/>
      <c r="AC478"/>
    </row>
    <row r="479" spans="1:29" s="17" customFormat="1" x14ac:dyDescent="0.35">
      <c r="A479" s="21"/>
      <c r="B479" s="21"/>
      <c r="D479" s="21" t="s">
        <v>210</v>
      </c>
      <c r="E479" s="21" t="s">
        <v>211</v>
      </c>
      <c r="G479" s="17">
        <v>1</v>
      </c>
      <c r="H479" s="93"/>
      <c r="V479"/>
      <c r="W479"/>
      <c r="X479"/>
      <c r="Y479"/>
      <c r="Z479"/>
      <c r="AA479"/>
      <c r="AB479"/>
      <c r="AC479"/>
    </row>
    <row r="480" spans="1:29" s="17" customFormat="1" x14ac:dyDescent="0.35">
      <c r="A480" s="21"/>
      <c r="B480" s="21"/>
      <c r="D480" s="21" t="s">
        <v>95</v>
      </c>
      <c r="E480" s="21" t="s">
        <v>71</v>
      </c>
      <c r="G480" s="17">
        <v>2</v>
      </c>
      <c r="H480" s="93"/>
      <c r="V480"/>
      <c r="W480"/>
      <c r="X480"/>
      <c r="Y480"/>
      <c r="Z480"/>
      <c r="AA480"/>
      <c r="AB480"/>
      <c r="AC480"/>
    </row>
    <row r="481" spans="1:29" s="49" customFormat="1" ht="21.75" thickBot="1" x14ac:dyDescent="0.4">
      <c r="A481" s="48"/>
      <c r="B481" s="48"/>
      <c r="D481" s="48"/>
      <c r="E481" s="48"/>
      <c r="H481" s="94"/>
      <c r="V481" s="76"/>
      <c r="W481" s="76"/>
      <c r="X481" s="76"/>
      <c r="Y481" s="76"/>
      <c r="Z481" s="76"/>
      <c r="AA481" s="76"/>
      <c r="AB481" s="76"/>
      <c r="AC481" s="76"/>
    </row>
    <row r="482" spans="1:29" s="47" customFormat="1" x14ac:dyDescent="0.35">
      <c r="A482" s="46" t="s">
        <v>74</v>
      </c>
      <c r="B482" s="46" t="s">
        <v>226</v>
      </c>
      <c r="C482" s="54">
        <v>5093</v>
      </c>
      <c r="D482" s="46" t="s">
        <v>76</v>
      </c>
      <c r="E482" s="46" t="s">
        <v>150</v>
      </c>
      <c r="F482" s="47" t="s">
        <v>426</v>
      </c>
      <c r="G482" s="47">
        <v>2</v>
      </c>
      <c r="H482" s="95">
        <v>46212</v>
      </c>
      <c r="M482" s="47">
        <v>0.5</v>
      </c>
      <c r="Q482" s="47">
        <v>0.5</v>
      </c>
      <c r="V482"/>
      <c r="W482"/>
      <c r="X482"/>
      <c r="Y482"/>
      <c r="Z482"/>
      <c r="AA482"/>
      <c r="AB482"/>
      <c r="AC482"/>
    </row>
    <row r="483" spans="1:29" s="17" customFormat="1" x14ac:dyDescent="0.35">
      <c r="A483" s="21"/>
      <c r="B483" s="21"/>
      <c r="D483" s="21" t="s">
        <v>80</v>
      </c>
      <c r="E483" s="21" t="s">
        <v>19</v>
      </c>
      <c r="G483" s="17">
        <v>2</v>
      </c>
      <c r="H483" s="93"/>
      <c r="M483" s="17">
        <v>1</v>
      </c>
      <c r="Q483" s="17">
        <v>1</v>
      </c>
      <c r="V483"/>
      <c r="W483"/>
      <c r="X483"/>
      <c r="Y483"/>
      <c r="Z483"/>
      <c r="AA483"/>
      <c r="AB483"/>
      <c r="AC483"/>
    </row>
    <row r="484" spans="1:29" s="17" customFormat="1" x14ac:dyDescent="0.35">
      <c r="A484" s="21"/>
      <c r="B484" s="21"/>
      <c r="D484" s="21" t="s">
        <v>77</v>
      </c>
      <c r="E484" s="21" t="s">
        <v>746</v>
      </c>
      <c r="G484" s="17">
        <v>2</v>
      </c>
      <c r="H484" s="93"/>
      <c r="V484"/>
      <c r="W484"/>
      <c r="X484"/>
      <c r="Y484"/>
      <c r="Z484"/>
      <c r="AA484"/>
      <c r="AB484"/>
      <c r="AC484"/>
    </row>
    <row r="485" spans="1:29" s="49" customFormat="1" ht="21.75" thickBot="1" x14ac:dyDescent="0.4">
      <c r="A485" s="48"/>
      <c r="B485" s="48"/>
      <c r="D485" s="48"/>
      <c r="E485" s="48"/>
      <c r="H485" s="94"/>
      <c r="V485" s="76"/>
      <c r="W485" s="76"/>
      <c r="X485" s="76"/>
      <c r="Y485" s="76"/>
      <c r="Z485" s="76"/>
      <c r="AA485" s="76"/>
      <c r="AB485" s="76"/>
      <c r="AC485" s="76"/>
    </row>
    <row r="486" spans="1:29" s="47" customFormat="1" x14ac:dyDescent="0.35">
      <c r="A486" s="46" t="s">
        <v>238</v>
      </c>
      <c r="B486" s="46" t="s">
        <v>690</v>
      </c>
      <c r="C486" s="54">
        <v>5094</v>
      </c>
      <c r="D486" s="46" t="s">
        <v>80</v>
      </c>
      <c r="E486" s="46" t="s">
        <v>19</v>
      </c>
      <c r="F486" s="47" t="s">
        <v>866</v>
      </c>
      <c r="G486" s="47">
        <v>1</v>
      </c>
      <c r="H486" s="95">
        <v>46212</v>
      </c>
      <c r="I486" s="47">
        <v>1</v>
      </c>
      <c r="V486"/>
      <c r="W486"/>
      <c r="X486"/>
      <c r="Y486"/>
      <c r="Z486"/>
      <c r="AA486"/>
      <c r="AB486"/>
      <c r="AC486"/>
    </row>
    <row r="487" spans="1:29" s="49" customFormat="1" ht="21.75" thickBot="1" x14ac:dyDescent="0.4">
      <c r="A487" s="48"/>
      <c r="B487" s="48"/>
      <c r="D487" s="48"/>
      <c r="E487" s="48"/>
      <c r="H487" s="94"/>
      <c r="V487" s="76"/>
      <c r="W487" s="76"/>
      <c r="X487" s="76"/>
      <c r="Y487" s="76"/>
      <c r="Z487" s="76"/>
      <c r="AA487" s="76"/>
      <c r="AB487" s="76"/>
      <c r="AC487" s="76"/>
    </row>
    <row r="488" spans="1:29" s="47" customFormat="1" x14ac:dyDescent="0.35">
      <c r="A488" s="46" t="s">
        <v>11</v>
      </c>
      <c r="B488" s="46" t="s">
        <v>163</v>
      </c>
      <c r="C488" s="54">
        <v>5095</v>
      </c>
      <c r="D488" s="46" t="s">
        <v>81</v>
      </c>
      <c r="E488" s="46" t="s">
        <v>867</v>
      </c>
      <c r="F488" s="47" t="s">
        <v>868</v>
      </c>
      <c r="G488" s="47">
        <v>2</v>
      </c>
      <c r="H488" s="95">
        <v>46212</v>
      </c>
      <c r="K488" s="47">
        <v>1</v>
      </c>
      <c r="N488" s="47">
        <v>1</v>
      </c>
      <c r="V488"/>
      <c r="W488"/>
      <c r="X488"/>
      <c r="Y488"/>
      <c r="Z488"/>
      <c r="AA488"/>
      <c r="AB488"/>
      <c r="AC488"/>
    </row>
    <row r="489" spans="1:29" s="49" customFormat="1" ht="21.75" thickBot="1" x14ac:dyDescent="0.4">
      <c r="A489" s="48"/>
      <c r="B489" s="48"/>
      <c r="D489" s="48"/>
      <c r="E489" s="48"/>
      <c r="H489" s="94"/>
      <c r="V489" s="76"/>
      <c r="W489" s="76"/>
      <c r="X489" s="76"/>
      <c r="Y489" s="76"/>
      <c r="Z489" s="76"/>
      <c r="AA489" s="76"/>
      <c r="AB489" s="76"/>
      <c r="AC489" s="76"/>
    </row>
    <row r="490" spans="1:29" s="47" customFormat="1" x14ac:dyDescent="0.35">
      <c r="A490" s="46" t="s">
        <v>11</v>
      </c>
      <c r="B490" s="46" t="s">
        <v>163</v>
      </c>
      <c r="C490" s="54">
        <v>5096</v>
      </c>
      <c r="D490" s="46" t="s">
        <v>869</v>
      </c>
      <c r="E490" s="46" t="s">
        <v>870</v>
      </c>
      <c r="F490" s="47" t="s">
        <v>875</v>
      </c>
      <c r="G490" s="47">
        <v>15</v>
      </c>
      <c r="H490" s="95">
        <v>46212</v>
      </c>
      <c r="K490" s="47">
        <v>2.75</v>
      </c>
      <c r="M490" s="47">
        <v>4.75</v>
      </c>
      <c r="N490" s="47">
        <v>4.75</v>
      </c>
      <c r="P490" s="47">
        <v>2.75</v>
      </c>
      <c r="V490"/>
      <c r="W490"/>
      <c r="X490"/>
      <c r="Y490"/>
      <c r="Z490"/>
      <c r="AA490"/>
      <c r="AB490"/>
      <c r="AC490"/>
    </row>
    <row r="491" spans="1:29" s="17" customFormat="1" x14ac:dyDescent="0.35">
      <c r="A491" s="21"/>
      <c r="B491" s="21"/>
      <c r="D491" s="21" t="s">
        <v>871</v>
      </c>
      <c r="E491" s="21" t="s">
        <v>872</v>
      </c>
      <c r="G491" s="17">
        <v>15</v>
      </c>
      <c r="H491" s="93"/>
      <c r="K491" s="17">
        <v>2.75</v>
      </c>
      <c r="M491" s="17">
        <v>4.75</v>
      </c>
      <c r="N491" s="17">
        <v>4.75</v>
      </c>
      <c r="P491" s="17">
        <v>2.75</v>
      </c>
      <c r="V491"/>
      <c r="W491"/>
      <c r="X491"/>
      <c r="Y491"/>
      <c r="Z491"/>
      <c r="AA491"/>
      <c r="AB491"/>
      <c r="AC491"/>
    </row>
    <row r="492" spans="1:29" s="17" customFormat="1" x14ac:dyDescent="0.35">
      <c r="A492" s="21"/>
      <c r="B492" s="21"/>
      <c r="D492" s="21" t="s">
        <v>873</v>
      </c>
      <c r="E492" s="21" t="s">
        <v>874</v>
      </c>
      <c r="G492" s="17">
        <v>15</v>
      </c>
      <c r="H492" s="93"/>
      <c r="V492"/>
      <c r="W492"/>
      <c r="X492"/>
      <c r="Y492"/>
      <c r="Z492"/>
      <c r="AA492"/>
      <c r="AB492"/>
      <c r="AC492"/>
    </row>
    <row r="493" spans="1:29" s="49" customFormat="1" ht="21.75" thickBot="1" x14ac:dyDescent="0.4">
      <c r="A493" s="48"/>
      <c r="B493" s="48"/>
      <c r="D493" s="48"/>
      <c r="E493" s="48"/>
      <c r="H493" s="94"/>
      <c r="V493" s="76"/>
      <c r="W493" s="76"/>
      <c r="X493" s="76"/>
      <c r="Y493" s="76"/>
      <c r="Z493" s="76"/>
      <c r="AA493" s="76"/>
      <c r="AB493" s="76"/>
      <c r="AC493" s="76"/>
    </row>
    <row r="494" spans="1:29" s="47" customFormat="1" x14ac:dyDescent="0.35">
      <c r="A494" s="46" t="s">
        <v>74</v>
      </c>
      <c r="B494" s="46" t="s">
        <v>876</v>
      </c>
      <c r="C494" s="54">
        <v>5097</v>
      </c>
      <c r="D494" s="46" t="s">
        <v>76</v>
      </c>
      <c r="E494" s="46" t="s">
        <v>150</v>
      </c>
      <c r="F494" s="47" t="s">
        <v>426</v>
      </c>
      <c r="G494" s="47">
        <v>1</v>
      </c>
      <c r="H494" s="95">
        <v>46212</v>
      </c>
      <c r="M494" s="47">
        <v>0.5</v>
      </c>
      <c r="V494"/>
      <c r="W494"/>
      <c r="X494"/>
      <c r="Y494"/>
      <c r="Z494"/>
      <c r="AA494"/>
      <c r="AB494"/>
      <c r="AC494"/>
    </row>
    <row r="495" spans="1:29" s="47" customFormat="1" x14ac:dyDescent="0.35">
      <c r="A495" s="46"/>
      <c r="B495" s="46"/>
      <c r="C495" s="54"/>
      <c r="D495" s="46" t="s">
        <v>80</v>
      </c>
      <c r="E495" s="46" t="s">
        <v>19</v>
      </c>
      <c r="G495" s="47">
        <v>1</v>
      </c>
      <c r="H495" s="95"/>
      <c r="V495"/>
      <c r="W495"/>
      <c r="X495"/>
      <c r="Y495"/>
      <c r="Z495"/>
      <c r="AA495"/>
      <c r="AB495"/>
      <c r="AC495"/>
    </row>
    <row r="496" spans="1:29" s="47" customFormat="1" x14ac:dyDescent="0.35">
      <c r="A496" s="46"/>
      <c r="B496" s="46"/>
      <c r="C496" s="54"/>
      <c r="D496" s="46" t="s">
        <v>77</v>
      </c>
      <c r="E496" s="46" t="s">
        <v>20</v>
      </c>
      <c r="G496" s="47">
        <v>1</v>
      </c>
      <c r="H496" s="95"/>
      <c r="V496"/>
      <c r="W496"/>
      <c r="X496"/>
      <c r="Y496"/>
      <c r="Z496"/>
      <c r="AA496"/>
      <c r="AB496"/>
      <c r="AC496"/>
    </row>
    <row r="497" spans="1:29" s="17" customFormat="1" x14ac:dyDescent="0.35">
      <c r="A497" s="21"/>
      <c r="B497" s="21"/>
      <c r="D497" s="21" t="s">
        <v>877</v>
      </c>
      <c r="E497" s="21" t="s">
        <v>878</v>
      </c>
      <c r="G497" s="17">
        <v>1</v>
      </c>
      <c r="H497" s="93"/>
      <c r="M497" s="17">
        <v>1</v>
      </c>
      <c r="V497"/>
      <c r="W497"/>
      <c r="X497"/>
      <c r="Y497"/>
      <c r="Z497"/>
      <c r="AA497"/>
      <c r="AB497"/>
      <c r="AC497"/>
    </row>
    <row r="498" spans="1:29" s="17" customFormat="1" x14ac:dyDescent="0.35">
      <c r="A498" s="21"/>
      <c r="B498" s="21"/>
      <c r="D498" s="21" t="s">
        <v>93</v>
      </c>
      <c r="E498" s="21" t="s">
        <v>14</v>
      </c>
      <c r="G498" s="17">
        <v>1</v>
      </c>
      <c r="H498" s="93"/>
      <c r="V498"/>
      <c r="W498"/>
      <c r="X498"/>
      <c r="Y498"/>
      <c r="Z498"/>
      <c r="AA498"/>
      <c r="AB498"/>
      <c r="AC498"/>
    </row>
    <row r="499" spans="1:29" s="17" customFormat="1" x14ac:dyDescent="0.35">
      <c r="A499" s="21"/>
      <c r="B499" s="21"/>
      <c r="D499" s="21" t="s">
        <v>123</v>
      </c>
      <c r="E499" s="21" t="s">
        <v>25</v>
      </c>
      <c r="G499" s="17">
        <v>1</v>
      </c>
      <c r="H499" s="93"/>
      <c r="M499" s="17">
        <v>1</v>
      </c>
      <c r="V499"/>
      <c r="W499"/>
      <c r="X499"/>
      <c r="Y499"/>
      <c r="Z499"/>
      <c r="AA499"/>
      <c r="AB499"/>
      <c r="AC499"/>
    </row>
    <row r="500" spans="1:29" s="17" customFormat="1" x14ac:dyDescent="0.35">
      <c r="A500" s="21"/>
      <c r="B500" s="21"/>
      <c r="D500" s="21" t="s">
        <v>87</v>
      </c>
      <c r="E500" s="21" t="s">
        <v>21</v>
      </c>
      <c r="G500" s="17">
        <v>1</v>
      </c>
      <c r="H500" s="93"/>
      <c r="M500" s="17">
        <v>1</v>
      </c>
      <c r="V500"/>
      <c r="W500"/>
      <c r="X500"/>
      <c r="Y500"/>
      <c r="Z500"/>
      <c r="AA500"/>
      <c r="AB500"/>
      <c r="AC500"/>
    </row>
    <row r="501" spans="1:29" s="17" customFormat="1" x14ac:dyDescent="0.35">
      <c r="A501" s="21"/>
      <c r="B501" s="21"/>
      <c r="D501" s="21" t="s">
        <v>79</v>
      </c>
      <c r="E501" s="21" t="s">
        <v>73</v>
      </c>
      <c r="G501" s="17">
        <v>1</v>
      </c>
      <c r="H501" s="93"/>
      <c r="L501" s="17">
        <v>1</v>
      </c>
      <c r="V501"/>
      <c r="W501"/>
      <c r="X501"/>
      <c r="Y501"/>
      <c r="Z501"/>
      <c r="AA501"/>
      <c r="AB501"/>
      <c r="AC501"/>
    </row>
    <row r="502" spans="1:29" s="17" customFormat="1" x14ac:dyDescent="0.35">
      <c r="A502" s="21"/>
      <c r="B502" s="21"/>
      <c r="D502" s="21" t="s">
        <v>75</v>
      </c>
      <c r="E502" s="21" t="s">
        <v>55</v>
      </c>
      <c r="G502" s="17">
        <v>1</v>
      </c>
      <c r="H502" s="93"/>
      <c r="L502" s="17">
        <v>1</v>
      </c>
      <c r="V502"/>
      <c r="W502"/>
      <c r="X502"/>
      <c r="Y502"/>
      <c r="Z502"/>
      <c r="AA502"/>
      <c r="AB502"/>
      <c r="AC502"/>
    </row>
    <row r="503" spans="1:29" s="17" customFormat="1" x14ac:dyDescent="0.35">
      <c r="A503" s="21"/>
      <c r="B503" s="21"/>
      <c r="D503" s="21" t="s">
        <v>81</v>
      </c>
      <c r="E503" s="21" t="s">
        <v>15</v>
      </c>
      <c r="G503" s="17">
        <v>1</v>
      </c>
      <c r="H503" s="93"/>
      <c r="L503" s="17">
        <v>1</v>
      </c>
      <c r="V503"/>
      <c r="W503"/>
      <c r="X503"/>
      <c r="Y503"/>
      <c r="Z503"/>
      <c r="AA503"/>
      <c r="AB503"/>
      <c r="AC503"/>
    </row>
    <row r="504" spans="1:29" s="17" customFormat="1" x14ac:dyDescent="0.35">
      <c r="A504" s="21"/>
      <c r="B504" s="21"/>
      <c r="D504" s="21" t="s">
        <v>94</v>
      </c>
      <c r="E504" s="21" t="s">
        <v>18</v>
      </c>
      <c r="G504" s="17">
        <v>24</v>
      </c>
      <c r="H504" s="93"/>
      <c r="L504" s="17">
        <v>1</v>
      </c>
      <c r="V504"/>
      <c r="W504"/>
      <c r="X504"/>
      <c r="Y504"/>
      <c r="Z504"/>
      <c r="AA504"/>
      <c r="AB504"/>
      <c r="AC504"/>
    </row>
    <row r="505" spans="1:29" s="17" customFormat="1" x14ac:dyDescent="0.35">
      <c r="A505" s="21"/>
      <c r="B505" s="21"/>
      <c r="D505" s="21" t="s">
        <v>322</v>
      </c>
      <c r="E505" s="21" t="s">
        <v>323</v>
      </c>
      <c r="G505" s="17">
        <v>1</v>
      </c>
      <c r="H505" s="93"/>
      <c r="L505" s="17">
        <v>0.5</v>
      </c>
      <c r="M505" s="17">
        <v>0.5</v>
      </c>
      <c r="V505"/>
      <c r="W505"/>
      <c r="X505"/>
      <c r="Y505"/>
      <c r="Z505"/>
      <c r="AA505"/>
      <c r="AB505"/>
      <c r="AC505"/>
    </row>
    <row r="506" spans="1:29" s="17" customFormat="1" x14ac:dyDescent="0.35">
      <c r="A506" s="21"/>
      <c r="B506" s="21"/>
      <c r="D506" s="21" t="s">
        <v>363</v>
      </c>
      <c r="E506" s="21" t="s">
        <v>364</v>
      </c>
      <c r="G506" s="17">
        <v>2</v>
      </c>
      <c r="H506" s="93"/>
      <c r="V506"/>
      <c r="W506"/>
      <c r="X506"/>
      <c r="Y506"/>
      <c r="Z506"/>
      <c r="AA506"/>
      <c r="AB506"/>
      <c r="AC506"/>
    </row>
    <row r="507" spans="1:29" s="17" customFormat="1" x14ac:dyDescent="0.35">
      <c r="A507" s="21"/>
      <c r="B507" s="21"/>
      <c r="D507" s="21" t="s">
        <v>157</v>
      </c>
      <c r="E507" s="21" t="s">
        <v>158</v>
      </c>
      <c r="G507" s="17">
        <v>1</v>
      </c>
      <c r="H507" s="93"/>
      <c r="V507"/>
      <c r="W507"/>
      <c r="X507"/>
      <c r="Y507"/>
      <c r="Z507"/>
      <c r="AA507"/>
      <c r="AB507"/>
      <c r="AC507"/>
    </row>
    <row r="508" spans="1:29" s="17" customFormat="1" x14ac:dyDescent="0.35">
      <c r="A508" s="21"/>
      <c r="B508" s="21"/>
      <c r="D508" s="21" t="s">
        <v>89</v>
      </c>
      <c r="E508" s="21" t="s">
        <v>90</v>
      </c>
      <c r="G508" s="17">
        <v>1</v>
      </c>
      <c r="H508" s="93"/>
      <c r="V508"/>
      <c r="W508"/>
      <c r="X508"/>
      <c r="Y508"/>
      <c r="Z508"/>
      <c r="AA508"/>
      <c r="AB508"/>
      <c r="AC508"/>
    </row>
    <row r="509" spans="1:29" s="17" customFormat="1" x14ac:dyDescent="0.35">
      <c r="A509" s="21"/>
      <c r="B509" s="21"/>
      <c r="D509" s="21" t="s">
        <v>114</v>
      </c>
      <c r="E509" s="21" t="s">
        <v>120</v>
      </c>
      <c r="G509" s="17">
        <v>1</v>
      </c>
      <c r="H509" s="93"/>
      <c r="V509"/>
      <c r="W509"/>
      <c r="X509"/>
      <c r="Y509"/>
      <c r="Z509"/>
      <c r="AA509"/>
      <c r="AB509"/>
      <c r="AC509"/>
    </row>
    <row r="510" spans="1:29" s="17" customFormat="1" x14ac:dyDescent="0.35">
      <c r="A510" s="21"/>
      <c r="B510" s="21"/>
      <c r="D510" s="21" t="s">
        <v>127</v>
      </c>
      <c r="E510" s="21" t="s">
        <v>128</v>
      </c>
      <c r="G510" s="17">
        <v>1</v>
      </c>
      <c r="H510" s="93"/>
      <c r="V510"/>
      <c r="W510"/>
      <c r="X510"/>
      <c r="Y510"/>
      <c r="Z510"/>
      <c r="AA510"/>
      <c r="AB510"/>
      <c r="AC510"/>
    </row>
    <row r="511" spans="1:29" s="17" customFormat="1" x14ac:dyDescent="0.35">
      <c r="A511" s="21"/>
      <c r="B511" s="21"/>
      <c r="D511" s="21" t="s">
        <v>113</v>
      </c>
      <c r="E511" s="21" t="s">
        <v>119</v>
      </c>
      <c r="G511" s="17">
        <v>1</v>
      </c>
      <c r="H511" s="93"/>
      <c r="V511"/>
      <c r="W511"/>
      <c r="X511"/>
      <c r="Y511"/>
      <c r="Z511"/>
      <c r="AA511"/>
      <c r="AB511"/>
      <c r="AC511"/>
    </row>
    <row r="512" spans="1:29" s="17" customFormat="1" x14ac:dyDescent="0.35">
      <c r="A512" s="21"/>
      <c r="B512" s="21"/>
      <c r="D512" s="21" t="s">
        <v>879</v>
      </c>
      <c r="E512" s="21" t="s">
        <v>880</v>
      </c>
      <c r="G512" s="17">
        <v>1</v>
      </c>
      <c r="H512" s="93"/>
      <c r="V512"/>
      <c r="W512"/>
      <c r="X512"/>
      <c r="Y512"/>
      <c r="Z512"/>
      <c r="AA512"/>
      <c r="AB512"/>
      <c r="AC512"/>
    </row>
    <row r="513" spans="1:29" s="17" customFormat="1" x14ac:dyDescent="0.35">
      <c r="A513" s="21"/>
      <c r="B513" s="21"/>
      <c r="D513" s="21" t="s">
        <v>115</v>
      </c>
      <c r="E513" s="21" t="s">
        <v>121</v>
      </c>
      <c r="G513" s="17">
        <v>1</v>
      </c>
      <c r="H513" s="93"/>
      <c r="V513"/>
      <c r="W513"/>
      <c r="X513"/>
      <c r="Y513"/>
      <c r="Z513"/>
      <c r="AA513"/>
      <c r="AB513"/>
      <c r="AC513"/>
    </row>
    <row r="514" spans="1:29" s="17" customFormat="1" x14ac:dyDescent="0.35">
      <c r="A514" s="21"/>
      <c r="B514" s="21"/>
      <c r="D514" s="21" t="s">
        <v>109</v>
      </c>
      <c r="E514" s="21" t="s">
        <v>110</v>
      </c>
      <c r="G514" s="17">
        <v>1</v>
      </c>
      <c r="H514" s="93"/>
      <c r="V514"/>
      <c r="W514"/>
      <c r="X514"/>
      <c r="Y514"/>
      <c r="Z514"/>
      <c r="AA514"/>
      <c r="AB514"/>
      <c r="AC514"/>
    </row>
    <row r="515" spans="1:29" s="17" customFormat="1" x14ac:dyDescent="0.35">
      <c r="A515" s="21"/>
      <c r="B515" s="21"/>
      <c r="D515" s="21" t="s">
        <v>116</v>
      </c>
      <c r="E515" s="21" t="s">
        <v>122</v>
      </c>
      <c r="G515" s="17">
        <v>1</v>
      </c>
      <c r="H515" s="93"/>
      <c r="V515"/>
      <c r="W515"/>
      <c r="X515"/>
      <c r="Y515"/>
      <c r="Z515"/>
      <c r="AA515"/>
      <c r="AB515"/>
      <c r="AC515"/>
    </row>
    <row r="516" spans="1:29" s="81" customFormat="1" ht="21.75" thickBot="1" x14ac:dyDescent="0.4">
      <c r="A516" s="114"/>
      <c r="B516" s="114"/>
      <c r="D516" s="114"/>
      <c r="E516" s="114"/>
      <c r="H516" s="115"/>
      <c r="V516" s="76"/>
      <c r="W516" s="76"/>
      <c r="X516" s="76"/>
      <c r="Y516" s="76"/>
      <c r="Z516" s="76"/>
      <c r="AA516" s="76"/>
      <c r="AB516" s="76"/>
      <c r="AC516" s="76"/>
    </row>
    <row r="517" spans="1:29" s="47" customFormat="1" x14ac:dyDescent="0.35">
      <c r="A517" s="46" t="s">
        <v>675</v>
      </c>
      <c r="B517" s="46" t="s">
        <v>861</v>
      </c>
      <c r="C517" s="53">
        <v>5098</v>
      </c>
      <c r="D517" s="46" t="s">
        <v>881</v>
      </c>
      <c r="E517" s="46" t="s">
        <v>882</v>
      </c>
      <c r="F517" s="47" t="s">
        <v>883</v>
      </c>
      <c r="G517" s="47">
        <v>1</v>
      </c>
      <c r="H517" s="95">
        <v>46213</v>
      </c>
      <c r="V517"/>
      <c r="W517"/>
      <c r="X517"/>
      <c r="Y517"/>
      <c r="Z517"/>
      <c r="AA517"/>
      <c r="AB517"/>
      <c r="AC517"/>
    </row>
    <row r="518" spans="1:29" s="49" customFormat="1" ht="21.75" thickBot="1" x14ac:dyDescent="0.4">
      <c r="A518" s="48"/>
      <c r="B518" s="48"/>
      <c r="D518" s="48"/>
      <c r="E518" s="48"/>
      <c r="F518" s="56" t="s">
        <v>144</v>
      </c>
      <c r="H518" s="94"/>
      <c r="V518" s="76"/>
      <c r="W518" s="76"/>
      <c r="X518" s="76"/>
      <c r="Y518" s="76"/>
      <c r="Z518" s="76"/>
      <c r="AA518" s="76"/>
      <c r="AB518" s="76"/>
      <c r="AC518" s="76"/>
    </row>
    <row r="519" spans="1:29" s="47" customFormat="1" x14ac:dyDescent="0.35">
      <c r="A519" s="46" t="s">
        <v>318</v>
      </c>
      <c r="B519" s="46" t="s">
        <v>220</v>
      </c>
      <c r="C519" s="47">
        <v>5099</v>
      </c>
      <c r="D519" s="46" t="s">
        <v>80</v>
      </c>
      <c r="E519" s="46" t="s">
        <v>19</v>
      </c>
      <c r="F519" s="56" t="s">
        <v>219</v>
      </c>
      <c r="G519" s="47">
        <v>3</v>
      </c>
      <c r="H519" s="95">
        <v>46216</v>
      </c>
      <c r="V519"/>
      <c r="W519"/>
      <c r="X519"/>
      <c r="Y519"/>
      <c r="Z519"/>
      <c r="AA519"/>
      <c r="AB519"/>
      <c r="AC519"/>
    </row>
    <row r="520" spans="1:29" s="17" customFormat="1" x14ac:dyDescent="0.35">
      <c r="A520" s="21"/>
      <c r="B520" s="21"/>
      <c r="D520" s="21" t="s">
        <v>106</v>
      </c>
      <c r="E520" s="21" t="s">
        <v>69</v>
      </c>
      <c r="G520" s="17">
        <v>5</v>
      </c>
      <c r="H520" s="93"/>
      <c r="V520"/>
      <c r="W520"/>
      <c r="X520"/>
      <c r="Y520"/>
      <c r="Z520"/>
      <c r="AA520"/>
      <c r="AB520"/>
      <c r="AC520"/>
    </row>
    <row r="521" spans="1:29" s="17" customFormat="1" x14ac:dyDescent="0.35">
      <c r="A521" s="21"/>
      <c r="B521" s="21"/>
      <c r="D521" s="21" t="s">
        <v>132</v>
      </c>
      <c r="E521" s="21" t="s">
        <v>133</v>
      </c>
      <c r="G521" s="17">
        <v>3</v>
      </c>
      <c r="H521" s="93"/>
      <c r="V521"/>
      <c r="W521"/>
      <c r="X521"/>
      <c r="Y521"/>
      <c r="Z521"/>
      <c r="AA521"/>
      <c r="AB521"/>
      <c r="AC521"/>
    </row>
    <row r="522" spans="1:29" s="49" customFormat="1" ht="21.75" thickBot="1" x14ac:dyDescent="0.4">
      <c r="A522" s="48"/>
      <c r="B522" s="48"/>
      <c r="D522" s="48"/>
      <c r="E522" s="48"/>
      <c r="H522" s="94"/>
      <c r="V522" s="76"/>
      <c r="W522" s="76"/>
      <c r="X522" s="76"/>
      <c r="Y522" s="76"/>
      <c r="Z522" s="76"/>
      <c r="AA522" s="76"/>
      <c r="AB522" s="76"/>
      <c r="AC522" s="76"/>
    </row>
    <row r="523" spans="1:29" s="47" customFormat="1" x14ac:dyDescent="0.35">
      <c r="A523" s="46" t="s">
        <v>318</v>
      </c>
      <c r="B523" s="46" t="s">
        <v>220</v>
      </c>
      <c r="C523" s="47">
        <v>5100</v>
      </c>
      <c r="D523" s="46" t="s">
        <v>78</v>
      </c>
      <c r="E523" s="46" t="s">
        <v>16</v>
      </c>
      <c r="F523" s="56" t="s">
        <v>219</v>
      </c>
      <c r="G523" s="54">
        <v>24</v>
      </c>
      <c r="H523" s="95">
        <v>46217</v>
      </c>
      <c r="V523"/>
      <c r="W523"/>
      <c r="X523"/>
      <c r="Y523"/>
      <c r="Z523"/>
      <c r="AA523"/>
      <c r="AB523"/>
      <c r="AC523"/>
    </row>
    <row r="524" spans="1:29" s="49" customFormat="1" ht="21.75" thickBot="1" x14ac:dyDescent="0.4">
      <c r="A524" s="48"/>
      <c r="B524" s="48"/>
      <c r="D524" s="48"/>
      <c r="E524" s="48"/>
      <c r="H524" s="94"/>
      <c r="V524" s="76"/>
      <c r="W524" s="76"/>
      <c r="X524" s="76"/>
      <c r="Y524" s="76"/>
      <c r="Z524" s="76"/>
      <c r="AA524" s="76"/>
      <c r="AB524" s="76"/>
      <c r="AC524" s="76"/>
    </row>
    <row r="525" spans="1:29" s="47" customFormat="1" ht="42" x14ac:dyDescent="0.35">
      <c r="A525" s="46" t="s">
        <v>857</v>
      </c>
      <c r="B525" s="46" t="s">
        <v>884</v>
      </c>
      <c r="C525" s="51">
        <v>5101</v>
      </c>
      <c r="D525" s="46" t="s">
        <v>885</v>
      </c>
      <c r="E525" s="111" t="s">
        <v>886</v>
      </c>
      <c r="F525" s="47" t="s">
        <v>888</v>
      </c>
      <c r="G525" s="47">
        <v>1</v>
      </c>
      <c r="H525" s="95">
        <v>46217</v>
      </c>
      <c r="V525"/>
      <c r="W525"/>
      <c r="X525"/>
      <c r="Y525"/>
      <c r="Z525"/>
      <c r="AA525"/>
      <c r="AB525"/>
      <c r="AC525"/>
    </row>
    <row r="526" spans="1:29" s="17" customFormat="1" ht="63" x14ac:dyDescent="0.35">
      <c r="A526" s="21"/>
      <c r="B526" s="21"/>
      <c r="D526" s="21" t="s">
        <v>488</v>
      </c>
      <c r="E526" s="62" t="s">
        <v>887</v>
      </c>
      <c r="F526" s="56" t="s">
        <v>937</v>
      </c>
      <c r="G526" s="17">
        <v>1</v>
      </c>
      <c r="H526" s="93"/>
      <c r="V526"/>
      <c r="W526"/>
      <c r="X526"/>
      <c r="Y526"/>
      <c r="Z526"/>
      <c r="AA526"/>
      <c r="AB526"/>
      <c r="AC526"/>
    </row>
    <row r="527" spans="1:29" s="49" customFormat="1" ht="21.75" thickBot="1" x14ac:dyDescent="0.4">
      <c r="A527" s="48"/>
      <c r="B527" s="48"/>
      <c r="D527" s="48"/>
      <c r="E527" s="48"/>
      <c r="H527" s="94"/>
      <c r="V527" s="76"/>
      <c r="W527" s="76"/>
      <c r="X527" s="76"/>
      <c r="Y527" s="76"/>
      <c r="Z527" s="76"/>
      <c r="AA527" s="76"/>
      <c r="AB527" s="76"/>
      <c r="AC527" s="76"/>
    </row>
    <row r="528" spans="1:29" s="47" customFormat="1" x14ac:dyDescent="0.35">
      <c r="A528" s="46" t="s">
        <v>309</v>
      </c>
      <c r="B528" s="46" t="s">
        <v>889</v>
      </c>
      <c r="C528" s="53">
        <v>5102</v>
      </c>
      <c r="D528" s="46" t="s">
        <v>217</v>
      </c>
      <c r="E528" s="46" t="s">
        <v>218</v>
      </c>
      <c r="F528" s="47" t="s">
        <v>894</v>
      </c>
      <c r="G528" s="47">
        <v>10</v>
      </c>
      <c r="H528" s="95">
        <v>46217</v>
      </c>
      <c r="V528"/>
      <c r="W528"/>
      <c r="X528"/>
      <c r="Y528"/>
      <c r="Z528"/>
      <c r="AA528"/>
      <c r="AB528"/>
      <c r="AC528"/>
    </row>
    <row r="529" spans="1:29" s="17" customFormat="1" x14ac:dyDescent="0.35">
      <c r="A529" s="21"/>
      <c r="B529" s="21"/>
      <c r="D529" s="21" t="s">
        <v>84</v>
      </c>
      <c r="E529" s="21" t="s">
        <v>13</v>
      </c>
      <c r="G529" s="17">
        <v>10</v>
      </c>
      <c r="H529" s="93"/>
      <c r="V529"/>
      <c r="W529"/>
      <c r="X529"/>
      <c r="Y529"/>
      <c r="Z529"/>
      <c r="AA529"/>
      <c r="AB529"/>
      <c r="AC529"/>
    </row>
    <row r="530" spans="1:29" s="17" customFormat="1" x14ac:dyDescent="0.35">
      <c r="A530" s="21"/>
      <c r="B530" s="21"/>
      <c r="D530" s="21" t="s">
        <v>462</v>
      </c>
      <c r="E530" s="21" t="s">
        <v>463</v>
      </c>
      <c r="G530" s="17">
        <v>9</v>
      </c>
      <c r="H530" s="93"/>
      <c r="V530"/>
      <c r="W530"/>
      <c r="X530"/>
      <c r="Y530"/>
      <c r="Z530"/>
      <c r="AA530"/>
      <c r="AB530"/>
      <c r="AC530"/>
    </row>
    <row r="531" spans="1:29" s="17" customFormat="1" x14ac:dyDescent="0.35">
      <c r="A531" s="21"/>
      <c r="B531" s="21"/>
      <c r="D531" s="21" t="s">
        <v>890</v>
      </c>
      <c r="E531" s="21" t="s">
        <v>891</v>
      </c>
      <c r="G531" s="17">
        <v>6</v>
      </c>
      <c r="H531" s="93"/>
      <c r="V531"/>
      <c r="W531"/>
      <c r="X531"/>
      <c r="Y531"/>
      <c r="Z531"/>
      <c r="AA531"/>
      <c r="AB531"/>
      <c r="AC531"/>
    </row>
    <row r="532" spans="1:29" s="17" customFormat="1" x14ac:dyDescent="0.35">
      <c r="A532" s="21"/>
      <c r="B532" s="21"/>
      <c r="D532" s="21" t="s">
        <v>701</v>
      </c>
      <c r="E532" s="21" t="s">
        <v>702</v>
      </c>
      <c r="G532" s="17">
        <v>3</v>
      </c>
      <c r="H532" s="93"/>
      <c r="V532"/>
      <c r="W532"/>
      <c r="X532"/>
      <c r="Y532"/>
      <c r="Z532"/>
      <c r="AA532"/>
      <c r="AB532"/>
      <c r="AC532"/>
    </row>
    <row r="533" spans="1:29" s="17" customFormat="1" x14ac:dyDescent="0.35">
      <c r="A533" s="21"/>
      <c r="B533" s="21"/>
      <c r="D533" s="21" t="s">
        <v>892</v>
      </c>
      <c r="E533" s="21" t="s">
        <v>893</v>
      </c>
      <c r="G533" s="17">
        <v>5</v>
      </c>
      <c r="H533" s="93"/>
      <c r="V533"/>
      <c r="W533"/>
      <c r="X533"/>
      <c r="Y533"/>
      <c r="Z533"/>
      <c r="AA533"/>
      <c r="AB533"/>
      <c r="AC533"/>
    </row>
    <row r="534" spans="1:29" s="17" customFormat="1" x14ac:dyDescent="0.35">
      <c r="A534" s="21"/>
      <c r="B534" s="21"/>
      <c r="D534" s="21" t="s">
        <v>256</v>
      </c>
      <c r="E534" s="21" t="s">
        <v>257</v>
      </c>
      <c r="G534" s="17">
        <v>5</v>
      </c>
      <c r="H534" s="93"/>
      <c r="V534"/>
      <c r="W534"/>
      <c r="X534"/>
      <c r="Y534"/>
      <c r="Z534"/>
      <c r="AA534"/>
      <c r="AB534"/>
      <c r="AC534"/>
    </row>
    <row r="535" spans="1:29" s="17" customFormat="1" x14ac:dyDescent="0.35">
      <c r="A535" s="21"/>
      <c r="B535" s="21"/>
      <c r="D535" s="21" t="s">
        <v>562</v>
      </c>
      <c r="E535" s="21" t="s">
        <v>563</v>
      </c>
      <c r="G535" s="17">
        <v>5</v>
      </c>
      <c r="H535" s="93"/>
      <c r="V535"/>
      <c r="W535"/>
      <c r="X535"/>
      <c r="Y535"/>
      <c r="Z535"/>
      <c r="AA535"/>
      <c r="AB535"/>
      <c r="AC535"/>
    </row>
    <row r="536" spans="1:29" s="17" customFormat="1" x14ac:dyDescent="0.35">
      <c r="A536" s="21"/>
      <c r="B536" s="21"/>
      <c r="D536" s="21" t="s">
        <v>115</v>
      </c>
      <c r="E536" s="21" t="s">
        <v>121</v>
      </c>
      <c r="G536" s="17">
        <v>10</v>
      </c>
      <c r="H536" s="93"/>
      <c r="V536"/>
      <c r="W536"/>
      <c r="X536"/>
      <c r="Y536"/>
      <c r="Z536"/>
      <c r="AA536"/>
      <c r="AB536"/>
      <c r="AC536"/>
    </row>
    <row r="537" spans="1:29" s="49" customFormat="1" ht="21.75" thickBot="1" x14ac:dyDescent="0.4">
      <c r="A537" s="48"/>
      <c r="B537" s="48"/>
      <c r="D537" s="48"/>
      <c r="E537" s="48"/>
      <c r="H537" s="94"/>
      <c r="V537" s="76"/>
      <c r="W537" s="76"/>
      <c r="X537" s="76"/>
      <c r="Y537" s="76"/>
      <c r="Z537" s="76"/>
      <c r="AA537" s="76"/>
      <c r="AB537" s="76"/>
      <c r="AC537" s="76"/>
    </row>
    <row r="538" spans="1:29" s="47" customFormat="1" x14ac:dyDescent="0.35">
      <c r="A538" s="46" t="s">
        <v>11</v>
      </c>
      <c r="B538" s="46" t="s">
        <v>163</v>
      </c>
      <c r="C538" s="53">
        <v>5103</v>
      </c>
      <c r="D538" s="46" t="s">
        <v>97</v>
      </c>
      <c r="E538" s="46" t="s">
        <v>24</v>
      </c>
      <c r="F538" s="47" t="s">
        <v>660</v>
      </c>
      <c r="G538" s="47">
        <v>4</v>
      </c>
      <c r="H538" s="95">
        <v>46217</v>
      </c>
      <c r="K538" s="47">
        <v>1.33</v>
      </c>
      <c r="N538" s="47">
        <v>1.33</v>
      </c>
      <c r="P538" s="47">
        <v>1.33</v>
      </c>
      <c r="V538"/>
      <c r="W538"/>
      <c r="X538"/>
      <c r="Y538"/>
      <c r="Z538"/>
      <c r="AA538"/>
      <c r="AB538"/>
      <c r="AC538"/>
    </row>
    <row r="539" spans="1:29" s="17" customFormat="1" x14ac:dyDescent="0.35">
      <c r="A539" s="21"/>
      <c r="B539" s="21"/>
      <c r="D539" s="21" t="s">
        <v>91</v>
      </c>
      <c r="E539" s="21" t="s">
        <v>27</v>
      </c>
      <c r="G539" s="17">
        <v>4</v>
      </c>
      <c r="H539" s="93"/>
      <c r="V539"/>
      <c r="W539"/>
      <c r="X539"/>
      <c r="Y539"/>
      <c r="Z539"/>
      <c r="AA539"/>
      <c r="AB539"/>
      <c r="AC539"/>
    </row>
    <row r="540" spans="1:29" s="17" customFormat="1" x14ac:dyDescent="0.35">
      <c r="A540" s="21"/>
      <c r="B540" s="21"/>
      <c r="D540" s="21" t="s">
        <v>93</v>
      </c>
      <c r="E540" s="21" t="s">
        <v>14</v>
      </c>
      <c r="G540" s="17">
        <v>4</v>
      </c>
      <c r="H540" s="93"/>
      <c r="K540" s="17">
        <v>1.33</v>
      </c>
      <c r="N540" s="17">
        <v>1.33</v>
      </c>
      <c r="P540" s="17">
        <v>1.33</v>
      </c>
      <c r="V540"/>
      <c r="W540"/>
      <c r="X540"/>
      <c r="Y540"/>
      <c r="Z540"/>
      <c r="AA540"/>
      <c r="AB540"/>
      <c r="AC540"/>
    </row>
    <row r="541" spans="1:29" s="17" customFormat="1" x14ac:dyDescent="0.35">
      <c r="A541" s="21"/>
      <c r="B541" s="21"/>
      <c r="D541" s="21" t="s">
        <v>123</v>
      </c>
      <c r="E541" s="21" t="s">
        <v>895</v>
      </c>
      <c r="G541" s="17">
        <v>4</v>
      </c>
      <c r="H541" s="93"/>
      <c r="K541" s="17">
        <v>1.33</v>
      </c>
      <c r="N541" s="17">
        <v>1.33</v>
      </c>
      <c r="P541" s="17">
        <v>1.33</v>
      </c>
      <c r="V541"/>
      <c r="W541"/>
      <c r="X541"/>
      <c r="Y541"/>
      <c r="Z541"/>
      <c r="AA541"/>
      <c r="AB541"/>
      <c r="AC541"/>
    </row>
    <row r="542" spans="1:29" s="17" customFormat="1" x14ac:dyDescent="0.35">
      <c r="A542" s="21"/>
      <c r="B542" s="21"/>
      <c r="D542" s="21" t="s">
        <v>87</v>
      </c>
      <c r="E542" s="21" t="s">
        <v>419</v>
      </c>
      <c r="G542" s="17">
        <v>4</v>
      </c>
      <c r="H542" s="93"/>
      <c r="K542" s="17">
        <v>1.33</v>
      </c>
      <c r="N542" s="17">
        <v>1.33</v>
      </c>
      <c r="P542" s="17">
        <v>1.33</v>
      </c>
      <c r="V542"/>
      <c r="W542"/>
      <c r="X542"/>
      <c r="Y542"/>
      <c r="Z542"/>
      <c r="AA542"/>
      <c r="AB542"/>
      <c r="AC542"/>
    </row>
    <row r="543" spans="1:29" s="17" customFormat="1" x14ac:dyDescent="0.35">
      <c r="A543" s="21"/>
      <c r="B543" s="21"/>
      <c r="D543" s="21" t="s">
        <v>82</v>
      </c>
      <c r="E543" s="21" t="s">
        <v>26</v>
      </c>
      <c r="G543" s="17">
        <v>4</v>
      </c>
      <c r="H543" s="93"/>
      <c r="V543"/>
      <c r="W543"/>
      <c r="X543"/>
      <c r="Y543"/>
      <c r="Z543"/>
      <c r="AA543"/>
      <c r="AB543"/>
      <c r="AC543"/>
    </row>
    <row r="544" spans="1:29" s="17" customFormat="1" x14ac:dyDescent="0.35">
      <c r="A544" s="21"/>
      <c r="B544" s="21"/>
      <c r="D544" s="21" t="s">
        <v>107</v>
      </c>
      <c r="E544" s="21" t="s">
        <v>602</v>
      </c>
      <c r="G544" s="17">
        <v>4</v>
      </c>
      <c r="H544" s="93"/>
      <c r="K544" s="17">
        <v>1.33</v>
      </c>
      <c r="N544" s="17">
        <v>1.33</v>
      </c>
      <c r="P544" s="17">
        <v>1.33</v>
      </c>
      <c r="V544"/>
      <c r="W544"/>
      <c r="X544"/>
      <c r="Y544"/>
      <c r="Z544"/>
      <c r="AA544"/>
      <c r="AB544"/>
      <c r="AC544"/>
    </row>
    <row r="545" spans="1:29" s="17" customFormat="1" x14ac:dyDescent="0.35">
      <c r="A545" s="21"/>
      <c r="B545" s="21"/>
      <c r="D545" s="21" t="s">
        <v>137</v>
      </c>
      <c r="E545" s="21" t="s">
        <v>138</v>
      </c>
      <c r="G545" s="17">
        <v>12</v>
      </c>
      <c r="H545" s="93"/>
      <c r="V545"/>
      <c r="W545"/>
      <c r="X545"/>
      <c r="Y545"/>
      <c r="Z545"/>
      <c r="AA545"/>
      <c r="AB545"/>
      <c r="AC545"/>
    </row>
    <row r="546" spans="1:29" s="17" customFormat="1" x14ac:dyDescent="0.35">
      <c r="A546" s="21"/>
      <c r="B546" s="21"/>
      <c r="D546" s="21" t="s">
        <v>365</v>
      </c>
      <c r="E546" s="21" t="s">
        <v>366</v>
      </c>
      <c r="G546" s="17">
        <v>4</v>
      </c>
      <c r="H546" s="93"/>
      <c r="V546"/>
      <c r="W546"/>
      <c r="X546"/>
      <c r="Y546"/>
      <c r="Z546"/>
      <c r="AA546"/>
      <c r="AB546"/>
      <c r="AC546"/>
    </row>
    <row r="547" spans="1:29" s="17" customFormat="1" x14ac:dyDescent="0.35">
      <c r="A547" s="21"/>
      <c r="B547" s="21"/>
      <c r="D547" s="21" t="s">
        <v>127</v>
      </c>
      <c r="E547" s="21" t="s">
        <v>128</v>
      </c>
      <c r="G547" s="17">
        <v>4</v>
      </c>
      <c r="H547" s="93"/>
      <c r="V547"/>
      <c r="W547"/>
      <c r="X547"/>
      <c r="Y547"/>
      <c r="Z547"/>
      <c r="AA547"/>
      <c r="AB547"/>
      <c r="AC547"/>
    </row>
    <row r="548" spans="1:29" s="49" customFormat="1" ht="21.75" thickBot="1" x14ac:dyDescent="0.4">
      <c r="A548" s="48"/>
      <c r="B548" s="48"/>
      <c r="D548" s="48"/>
      <c r="E548" s="48"/>
      <c r="H548" s="94"/>
      <c r="V548" s="76"/>
      <c r="W548" s="76"/>
      <c r="X548" s="76"/>
      <c r="Y548" s="76"/>
      <c r="Z548" s="76"/>
      <c r="AA548" s="76"/>
      <c r="AB548" s="76"/>
      <c r="AC548" s="76"/>
    </row>
    <row r="549" spans="1:29" s="47" customFormat="1" x14ac:dyDescent="0.35">
      <c r="A549" s="46" t="s">
        <v>896</v>
      </c>
      <c r="B549" s="46" t="s">
        <v>140</v>
      </c>
      <c r="C549" s="54">
        <v>5104</v>
      </c>
      <c r="D549" s="46" t="s">
        <v>76</v>
      </c>
      <c r="E549" s="46" t="s">
        <v>150</v>
      </c>
      <c r="F549" s="47" t="s">
        <v>897</v>
      </c>
      <c r="G549" s="47">
        <v>1</v>
      </c>
      <c r="H549" s="95">
        <v>46217</v>
      </c>
      <c r="J549" s="47">
        <v>0.5</v>
      </c>
      <c r="V549"/>
      <c r="W549"/>
      <c r="X549"/>
      <c r="Y549"/>
      <c r="Z549"/>
      <c r="AA549"/>
      <c r="AB549"/>
      <c r="AC549"/>
    </row>
    <row r="550" spans="1:29" s="17" customFormat="1" x14ac:dyDescent="0.35">
      <c r="A550" s="21"/>
      <c r="B550" s="21"/>
      <c r="D550" s="21" t="s">
        <v>106</v>
      </c>
      <c r="E550" s="21" t="s">
        <v>69</v>
      </c>
      <c r="G550" s="17">
        <v>1</v>
      </c>
      <c r="H550" s="93"/>
      <c r="J550" s="17">
        <v>1</v>
      </c>
      <c r="V550"/>
      <c r="W550"/>
      <c r="X550"/>
      <c r="Y550"/>
      <c r="Z550"/>
      <c r="AA550"/>
      <c r="AB550"/>
      <c r="AC550"/>
    </row>
    <row r="551" spans="1:29" s="17" customFormat="1" x14ac:dyDescent="0.35">
      <c r="A551" s="21"/>
      <c r="B551" s="21"/>
      <c r="D551" s="21" t="s">
        <v>77</v>
      </c>
      <c r="E551" s="21" t="s">
        <v>20</v>
      </c>
      <c r="G551" s="17">
        <v>1</v>
      </c>
      <c r="H551" s="93"/>
      <c r="V551"/>
      <c r="W551"/>
      <c r="X551"/>
      <c r="Y551"/>
      <c r="Z551"/>
      <c r="AA551"/>
      <c r="AB551"/>
      <c r="AC551"/>
    </row>
    <row r="552" spans="1:29" s="17" customFormat="1" x14ac:dyDescent="0.35">
      <c r="A552" s="21"/>
      <c r="B552" s="21"/>
      <c r="D552" s="21" t="s">
        <v>91</v>
      </c>
      <c r="E552" s="21" t="s">
        <v>27</v>
      </c>
      <c r="G552" s="17">
        <v>1</v>
      </c>
      <c r="H552" s="93"/>
      <c r="V552"/>
      <c r="W552"/>
      <c r="X552"/>
      <c r="Y552"/>
      <c r="Z552"/>
      <c r="AA552"/>
      <c r="AB552"/>
      <c r="AC552"/>
    </row>
    <row r="553" spans="1:29" s="17" customFormat="1" x14ac:dyDescent="0.35">
      <c r="A553" s="21"/>
      <c r="B553" s="21"/>
      <c r="D553" s="21" t="s">
        <v>78</v>
      </c>
      <c r="E553" s="21" t="s">
        <v>16</v>
      </c>
      <c r="G553" s="17">
        <v>1</v>
      </c>
      <c r="H553" s="93"/>
      <c r="V553"/>
      <c r="W553"/>
      <c r="X553"/>
      <c r="Y553"/>
      <c r="Z553"/>
      <c r="AA553"/>
      <c r="AB553"/>
      <c r="AC553"/>
    </row>
    <row r="554" spans="1:29" s="17" customFormat="1" x14ac:dyDescent="0.35">
      <c r="A554" s="21"/>
      <c r="B554" s="21"/>
      <c r="D554" s="21" t="s">
        <v>92</v>
      </c>
      <c r="E554" s="21" t="s">
        <v>51</v>
      </c>
      <c r="G554" s="17">
        <v>1</v>
      </c>
      <c r="H554" s="93"/>
      <c r="V554"/>
      <c r="W554"/>
      <c r="X554"/>
      <c r="Y554"/>
      <c r="Z554"/>
      <c r="AA554"/>
      <c r="AB554"/>
      <c r="AC554"/>
    </row>
    <row r="555" spans="1:29" s="17" customFormat="1" x14ac:dyDescent="0.35">
      <c r="A555" s="21"/>
      <c r="B555" s="21"/>
      <c r="D555" s="21" t="s">
        <v>83</v>
      </c>
      <c r="E555" s="21" t="s">
        <v>12</v>
      </c>
      <c r="G555" s="17">
        <v>1</v>
      </c>
      <c r="H555" s="93"/>
      <c r="V555"/>
      <c r="W555"/>
      <c r="X555"/>
      <c r="Y555"/>
      <c r="Z555"/>
      <c r="AA555"/>
      <c r="AB555"/>
      <c r="AC555"/>
    </row>
    <row r="556" spans="1:29" s="17" customFormat="1" x14ac:dyDescent="0.35">
      <c r="A556" s="21"/>
      <c r="B556" s="21"/>
      <c r="D556" s="21" t="s">
        <v>84</v>
      </c>
      <c r="E556" s="21" t="s">
        <v>13</v>
      </c>
      <c r="G556" s="17">
        <v>1</v>
      </c>
      <c r="H556" s="93"/>
      <c r="V556"/>
      <c r="W556"/>
      <c r="X556"/>
      <c r="Y556"/>
      <c r="Z556"/>
      <c r="AA556"/>
      <c r="AB556"/>
      <c r="AC556"/>
    </row>
    <row r="557" spans="1:29" s="17" customFormat="1" x14ac:dyDescent="0.35">
      <c r="A557" s="21"/>
      <c r="B557" s="21"/>
      <c r="D557" s="21" t="s">
        <v>93</v>
      </c>
      <c r="E557" s="21" t="s">
        <v>14</v>
      </c>
      <c r="G557" s="17">
        <v>1</v>
      </c>
      <c r="H557" s="93"/>
      <c r="J557" s="17">
        <v>1</v>
      </c>
      <c r="V557"/>
      <c r="W557"/>
      <c r="X557"/>
      <c r="Y557"/>
      <c r="Z557"/>
      <c r="AA557"/>
      <c r="AB557"/>
      <c r="AC557"/>
    </row>
    <row r="558" spans="1:29" s="17" customFormat="1" x14ac:dyDescent="0.35">
      <c r="A558" s="21"/>
      <c r="B558" s="21"/>
      <c r="D558" s="21" t="s">
        <v>123</v>
      </c>
      <c r="E558" s="21" t="s">
        <v>25</v>
      </c>
      <c r="G558" s="17">
        <v>1</v>
      </c>
      <c r="H558" s="93"/>
      <c r="J558" s="17">
        <v>1</v>
      </c>
      <c r="V558"/>
      <c r="W558"/>
      <c r="X558"/>
      <c r="Y558"/>
      <c r="Z558"/>
      <c r="AA558"/>
      <c r="AB558"/>
      <c r="AC558"/>
    </row>
    <row r="559" spans="1:29" s="17" customFormat="1" x14ac:dyDescent="0.35">
      <c r="A559" s="21"/>
      <c r="B559" s="21"/>
      <c r="D559" s="21" t="s">
        <v>87</v>
      </c>
      <c r="E559" s="21" t="s">
        <v>21</v>
      </c>
      <c r="G559" s="17">
        <v>1</v>
      </c>
      <c r="H559" s="93"/>
      <c r="J559" s="17">
        <v>1</v>
      </c>
      <c r="V559"/>
      <c r="W559"/>
      <c r="X559"/>
      <c r="Y559"/>
      <c r="Z559"/>
      <c r="AA559"/>
      <c r="AB559"/>
      <c r="AC559"/>
    </row>
    <row r="560" spans="1:29" s="17" customFormat="1" x14ac:dyDescent="0.35">
      <c r="A560" s="21"/>
      <c r="B560" s="21"/>
      <c r="D560" s="21" t="s">
        <v>131</v>
      </c>
      <c r="E560" s="21" t="s">
        <v>72</v>
      </c>
      <c r="G560" s="17">
        <v>1</v>
      </c>
      <c r="H560" s="93"/>
      <c r="J560" s="17">
        <v>1</v>
      </c>
      <c r="V560"/>
      <c r="W560"/>
      <c r="X560"/>
      <c r="Y560"/>
      <c r="Z560"/>
      <c r="AA560"/>
      <c r="AB560"/>
      <c r="AC560"/>
    </row>
    <row r="561" spans="1:29" s="17" customFormat="1" x14ac:dyDescent="0.35">
      <c r="A561" s="21"/>
      <c r="B561" s="21"/>
      <c r="D561" s="21" t="s">
        <v>81</v>
      </c>
      <c r="E561" s="21" t="s">
        <v>15</v>
      </c>
      <c r="G561" s="17">
        <v>1</v>
      </c>
      <c r="H561" s="93"/>
      <c r="J561" s="17">
        <v>1</v>
      </c>
      <c r="V561"/>
      <c r="W561"/>
      <c r="X561"/>
      <c r="Y561"/>
      <c r="Z561"/>
      <c r="AA561"/>
      <c r="AB561"/>
      <c r="AC561"/>
    </row>
    <row r="562" spans="1:29" s="17" customFormat="1" x14ac:dyDescent="0.35">
      <c r="A562" s="21"/>
      <c r="B562" s="21"/>
      <c r="D562" s="21" t="s">
        <v>96</v>
      </c>
      <c r="E562" s="21" t="s">
        <v>139</v>
      </c>
      <c r="G562" s="17">
        <v>24</v>
      </c>
      <c r="H562" s="93"/>
      <c r="V562"/>
      <c r="W562"/>
      <c r="X562"/>
      <c r="Y562"/>
      <c r="Z562"/>
      <c r="AA562"/>
      <c r="AB562"/>
      <c r="AC562"/>
    </row>
    <row r="563" spans="1:29" s="49" customFormat="1" ht="21.75" thickBot="1" x14ac:dyDescent="0.4">
      <c r="A563" s="48"/>
      <c r="B563" s="48"/>
      <c r="D563" s="48"/>
      <c r="E563" s="48"/>
      <c r="H563" s="94"/>
      <c r="V563" s="76"/>
      <c r="W563" s="76"/>
      <c r="X563" s="76"/>
      <c r="Y563" s="76"/>
      <c r="Z563" s="76"/>
      <c r="AA563" s="76"/>
      <c r="AB563" s="76"/>
      <c r="AC563" s="76"/>
    </row>
    <row r="564" spans="1:29" s="47" customFormat="1" x14ac:dyDescent="0.35">
      <c r="A564" s="46" t="s">
        <v>675</v>
      </c>
      <c r="B564" s="46" t="s">
        <v>861</v>
      </c>
      <c r="C564" s="51">
        <v>5105</v>
      </c>
      <c r="D564" s="46" t="s">
        <v>97</v>
      </c>
      <c r="E564" s="46" t="s">
        <v>24</v>
      </c>
      <c r="F564" s="47" t="s">
        <v>426</v>
      </c>
      <c r="G564" s="47">
        <v>5</v>
      </c>
      <c r="H564" s="95">
        <v>46217</v>
      </c>
      <c r="V564"/>
      <c r="W564"/>
      <c r="X564"/>
      <c r="Y564"/>
      <c r="Z564"/>
      <c r="AA564"/>
      <c r="AB564"/>
      <c r="AC564"/>
    </row>
    <row r="565" spans="1:29" s="17" customFormat="1" x14ac:dyDescent="0.35">
      <c r="A565" s="21"/>
      <c r="B565" s="21"/>
      <c r="D565" s="21" t="s">
        <v>396</v>
      </c>
      <c r="E565" s="21" t="s">
        <v>826</v>
      </c>
      <c r="G565" s="17">
        <v>10</v>
      </c>
      <c r="H565" s="93"/>
      <c r="V565"/>
      <c r="W565"/>
      <c r="X565"/>
      <c r="Y565"/>
      <c r="Z565"/>
      <c r="AA565"/>
      <c r="AB565"/>
      <c r="AC565"/>
    </row>
    <row r="566" spans="1:29" s="17" customFormat="1" x14ac:dyDescent="0.35">
      <c r="A566" s="21"/>
      <c r="B566" s="21"/>
      <c r="D566" s="21" t="s">
        <v>898</v>
      </c>
      <c r="E566" s="21" t="s">
        <v>899</v>
      </c>
      <c r="G566" s="17">
        <v>10</v>
      </c>
      <c r="H566" s="93"/>
      <c r="V566"/>
      <c r="W566"/>
      <c r="X566"/>
      <c r="Y566"/>
      <c r="Z566"/>
      <c r="AA566"/>
      <c r="AB566"/>
      <c r="AC566"/>
    </row>
    <row r="567" spans="1:29" s="17" customFormat="1" x14ac:dyDescent="0.35">
      <c r="A567" s="21"/>
      <c r="B567" s="21"/>
      <c r="D567" s="21" t="s">
        <v>81</v>
      </c>
      <c r="E567" s="21" t="s">
        <v>15</v>
      </c>
      <c r="G567" s="17">
        <v>5</v>
      </c>
      <c r="H567" s="93"/>
      <c r="V567"/>
      <c r="W567"/>
      <c r="X567"/>
      <c r="Y567"/>
      <c r="Z567"/>
      <c r="AA567"/>
      <c r="AB567"/>
      <c r="AC567"/>
    </row>
    <row r="568" spans="1:29" s="17" customFormat="1" x14ac:dyDescent="0.35">
      <c r="A568" s="21"/>
      <c r="B568" s="21"/>
      <c r="D568" s="21" t="s">
        <v>94</v>
      </c>
      <c r="E568" s="21" t="s">
        <v>18</v>
      </c>
      <c r="G568" s="17">
        <v>120</v>
      </c>
      <c r="H568" s="93"/>
      <c r="V568"/>
      <c r="W568"/>
      <c r="X568"/>
      <c r="Y568"/>
      <c r="Z568"/>
      <c r="AA568"/>
      <c r="AB568"/>
      <c r="AC568"/>
    </row>
    <row r="569" spans="1:29" s="17" customFormat="1" x14ac:dyDescent="0.35">
      <c r="A569" s="21"/>
      <c r="B569" s="21"/>
      <c r="D569" s="21" t="s">
        <v>900</v>
      </c>
      <c r="E569" s="21" t="s">
        <v>901</v>
      </c>
      <c r="G569" s="17">
        <v>5</v>
      </c>
      <c r="H569" s="93"/>
      <c r="V569"/>
      <c r="W569"/>
      <c r="X569"/>
      <c r="Y569"/>
      <c r="Z569"/>
      <c r="AA569"/>
      <c r="AB569"/>
      <c r="AC569"/>
    </row>
    <row r="570" spans="1:29" s="17" customFormat="1" x14ac:dyDescent="0.35">
      <c r="A570" s="21"/>
      <c r="B570" s="21"/>
      <c r="D570" s="21" t="s">
        <v>902</v>
      </c>
      <c r="E570" s="21" t="s">
        <v>903</v>
      </c>
      <c r="G570" s="17">
        <v>5</v>
      </c>
      <c r="H570" s="93"/>
      <c r="V570"/>
      <c r="W570"/>
      <c r="X570"/>
      <c r="Y570"/>
      <c r="Z570"/>
      <c r="AA570"/>
      <c r="AB570"/>
      <c r="AC570"/>
    </row>
    <row r="571" spans="1:29" s="17" customFormat="1" x14ac:dyDescent="0.35">
      <c r="A571" s="21"/>
      <c r="B571" s="21"/>
      <c r="D571" s="21" t="s">
        <v>82</v>
      </c>
      <c r="E571" s="21" t="s">
        <v>26</v>
      </c>
      <c r="G571" s="17">
        <v>5</v>
      </c>
      <c r="H571" s="93"/>
      <c r="V571"/>
      <c r="W571"/>
      <c r="X571"/>
      <c r="Y571"/>
      <c r="Z571"/>
      <c r="AA571"/>
      <c r="AB571"/>
      <c r="AC571"/>
    </row>
    <row r="572" spans="1:29" s="17" customFormat="1" x14ac:dyDescent="0.35">
      <c r="A572" s="21"/>
      <c r="B572" s="21"/>
      <c r="D572" s="21" t="s">
        <v>904</v>
      </c>
      <c r="E572" s="21" t="s">
        <v>905</v>
      </c>
      <c r="G572" s="17">
        <v>5</v>
      </c>
      <c r="H572" s="93"/>
      <c r="V572"/>
      <c r="W572"/>
      <c r="X572"/>
      <c r="Y572"/>
      <c r="Z572"/>
      <c r="AA572"/>
      <c r="AB572"/>
      <c r="AC572"/>
    </row>
    <row r="573" spans="1:29" s="17" customFormat="1" x14ac:dyDescent="0.35">
      <c r="A573" s="21"/>
      <c r="B573" s="21"/>
      <c r="D573" s="21" t="s">
        <v>210</v>
      </c>
      <c r="E573" s="21" t="s">
        <v>211</v>
      </c>
      <c r="G573" s="17">
        <v>10</v>
      </c>
      <c r="H573" s="93"/>
      <c r="V573"/>
      <c r="W573"/>
      <c r="X573"/>
      <c r="Y573"/>
      <c r="Z573"/>
      <c r="AA573"/>
      <c r="AB573"/>
      <c r="AC573"/>
    </row>
    <row r="574" spans="1:29" s="17" customFormat="1" x14ac:dyDescent="0.35">
      <c r="A574" s="21"/>
      <c r="B574" s="21"/>
      <c r="D574" s="21" t="s">
        <v>127</v>
      </c>
      <c r="E574" s="21" t="s">
        <v>128</v>
      </c>
      <c r="G574" s="17">
        <v>5</v>
      </c>
      <c r="H574" s="93"/>
      <c r="V574"/>
      <c r="W574"/>
      <c r="X574"/>
      <c r="Y574"/>
      <c r="Z574"/>
      <c r="AA574"/>
      <c r="AB574"/>
      <c r="AC574"/>
    </row>
    <row r="575" spans="1:29" s="49" customFormat="1" ht="21.75" thickBot="1" x14ac:dyDescent="0.4">
      <c r="A575" s="48"/>
      <c r="B575" s="48"/>
      <c r="D575" s="48"/>
      <c r="E575" s="48"/>
      <c r="H575" s="94"/>
      <c r="V575" s="76"/>
      <c r="W575" s="76"/>
      <c r="X575" s="76"/>
      <c r="Y575" s="76"/>
      <c r="Z575" s="76"/>
      <c r="AA575" s="76"/>
      <c r="AB575" s="76"/>
      <c r="AC575" s="76"/>
    </row>
    <row r="576" spans="1:29" s="47" customFormat="1" x14ac:dyDescent="0.35">
      <c r="A576" s="46" t="s">
        <v>136</v>
      </c>
      <c r="B576" s="46" t="s">
        <v>789</v>
      </c>
      <c r="C576" s="53">
        <v>5106</v>
      </c>
      <c r="D576" s="46" t="s">
        <v>80</v>
      </c>
      <c r="E576" s="46" t="s">
        <v>19</v>
      </c>
      <c r="F576" s="47" t="s">
        <v>426</v>
      </c>
      <c r="G576" s="47">
        <v>1</v>
      </c>
      <c r="H576" s="95">
        <v>46217</v>
      </c>
      <c r="L576" s="47">
        <v>1</v>
      </c>
      <c r="V576"/>
      <c r="W576"/>
      <c r="X576"/>
      <c r="Y576"/>
      <c r="Z576"/>
      <c r="AA576"/>
      <c r="AB576"/>
      <c r="AC576"/>
    </row>
    <row r="577" spans="1:29" s="17" customFormat="1" x14ac:dyDescent="0.35">
      <c r="A577" s="21"/>
      <c r="B577" s="21"/>
      <c r="D577" s="21" t="s">
        <v>75</v>
      </c>
      <c r="E577" s="21" t="s">
        <v>55</v>
      </c>
      <c r="G577" s="17">
        <v>1</v>
      </c>
      <c r="H577" s="93"/>
      <c r="L577" s="17">
        <v>1</v>
      </c>
      <c r="V577"/>
      <c r="W577"/>
      <c r="X577"/>
      <c r="Y577"/>
      <c r="Z577"/>
      <c r="AA577"/>
      <c r="AB577"/>
      <c r="AC577"/>
    </row>
    <row r="578" spans="1:29" s="17" customFormat="1" x14ac:dyDescent="0.35">
      <c r="A578" s="21"/>
      <c r="B578" s="21"/>
      <c r="D578" s="21" t="s">
        <v>271</v>
      </c>
      <c r="E578" s="21" t="s">
        <v>272</v>
      </c>
      <c r="G578" s="17">
        <v>1</v>
      </c>
      <c r="H578" s="93"/>
      <c r="L578" s="17">
        <v>1</v>
      </c>
      <c r="V578"/>
      <c r="W578"/>
      <c r="X578"/>
      <c r="Y578"/>
      <c r="Z578"/>
      <c r="AA578"/>
      <c r="AB578"/>
      <c r="AC578"/>
    </row>
    <row r="579" spans="1:29" s="17" customFormat="1" x14ac:dyDescent="0.35">
      <c r="A579" s="21"/>
      <c r="B579" s="21"/>
      <c r="D579" s="21" t="s">
        <v>650</v>
      </c>
      <c r="E579" s="21" t="s">
        <v>651</v>
      </c>
      <c r="G579" s="17">
        <v>1</v>
      </c>
      <c r="H579" s="93"/>
      <c r="L579" s="17">
        <v>1</v>
      </c>
      <c r="V579"/>
      <c r="W579"/>
      <c r="X579"/>
      <c r="Y579"/>
      <c r="Z579"/>
      <c r="AA579"/>
      <c r="AB579"/>
      <c r="AC579"/>
    </row>
    <row r="580" spans="1:29" s="17" customFormat="1" x14ac:dyDescent="0.35">
      <c r="A580" s="21"/>
      <c r="B580" s="21"/>
      <c r="D580" s="21" t="s">
        <v>81</v>
      </c>
      <c r="E580" s="21" t="s">
        <v>15</v>
      </c>
      <c r="G580" s="17">
        <v>1</v>
      </c>
      <c r="H580" s="93"/>
      <c r="L580" s="17">
        <v>1</v>
      </c>
      <c r="V580"/>
      <c r="W580"/>
      <c r="X580"/>
      <c r="Y580"/>
      <c r="Z580"/>
      <c r="AA580"/>
      <c r="AB580"/>
      <c r="AC580"/>
    </row>
    <row r="581" spans="1:29" s="17" customFormat="1" x14ac:dyDescent="0.35">
      <c r="A581" s="21"/>
      <c r="B581" s="21"/>
      <c r="D581" s="21" t="s">
        <v>613</v>
      </c>
      <c r="E581" s="21" t="s">
        <v>614</v>
      </c>
      <c r="G581" s="17">
        <v>1</v>
      </c>
      <c r="H581" s="93"/>
      <c r="V581"/>
      <c r="W581"/>
      <c r="X581"/>
      <c r="Y581"/>
      <c r="Z581"/>
      <c r="AA581"/>
      <c r="AB581"/>
      <c r="AC581"/>
    </row>
    <row r="582" spans="1:29" s="17" customFormat="1" x14ac:dyDescent="0.35">
      <c r="A582" s="21"/>
      <c r="B582" s="21"/>
      <c r="D582" s="21" t="s">
        <v>326</v>
      </c>
      <c r="E582" s="21" t="s">
        <v>327</v>
      </c>
      <c r="G582" s="17">
        <v>1</v>
      </c>
      <c r="H582" s="93"/>
      <c r="V582"/>
      <c r="W582"/>
      <c r="X582"/>
      <c r="Y582"/>
      <c r="Z582"/>
      <c r="AA582"/>
      <c r="AB582"/>
      <c r="AC582"/>
    </row>
    <row r="583" spans="1:29" s="17" customFormat="1" x14ac:dyDescent="0.35">
      <c r="A583" s="21"/>
      <c r="B583" s="21"/>
      <c r="D583" s="21" t="s">
        <v>89</v>
      </c>
      <c r="E583" s="21" t="s">
        <v>90</v>
      </c>
      <c r="G583" s="17">
        <v>1</v>
      </c>
      <c r="H583" s="93"/>
      <c r="V583"/>
      <c r="W583"/>
      <c r="X583"/>
      <c r="Y583"/>
      <c r="Z583"/>
      <c r="AA583"/>
      <c r="AB583"/>
      <c r="AC583"/>
    </row>
    <row r="584" spans="1:29" s="17" customFormat="1" x14ac:dyDescent="0.35">
      <c r="A584" s="21"/>
      <c r="B584" s="21"/>
      <c r="D584" s="21" t="s">
        <v>210</v>
      </c>
      <c r="E584" s="21" t="s">
        <v>211</v>
      </c>
      <c r="G584" s="17">
        <v>1</v>
      </c>
      <c r="H584" s="93"/>
      <c r="V584"/>
      <c r="W584"/>
      <c r="X584"/>
      <c r="Y584"/>
      <c r="Z584"/>
      <c r="AA584"/>
      <c r="AB584"/>
      <c r="AC584"/>
    </row>
    <row r="585" spans="1:29" s="17" customFormat="1" x14ac:dyDescent="0.35">
      <c r="A585" s="21"/>
      <c r="B585" s="21"/>
      <c r="D585" s="21" t="s">
        <v>427</v>
      </c>
      <c r="E585" s="21" t="s">
        <v>428</v>
      </c>
      <c r="G585" s="17">
        <v>1</v>
      </c>
      <c r="H585" s="93"/>
      <c r="V585"/>
      <c r="W585"/>
      <c r="X585"/>
      <c r="Y585"/>
      <c r="Z585"/>
      <c r="AA585"/>
      <c r="AB585"/>
      <c r="AC585"/>
    </row>
    <row r="586" spans="1:29" s="49" customFormat="1" ht="21.75" thickBot="1" x14ac:dyDescent="0.4">
      <c r="A586" s="48"/>
      <c r="B586" s="48"/>
      <c r="D586" s="48"/>
      <c r="E586" s="48"/>
      <c r="H586" s="94"/>
      <c r="V586" s="76"/>
      <c r="W586" s="76"/>
      <c r="X586" s="76"/>
      <c r="Y586" s="76"/>
      <c r="Z586" s="76"/>
      <c r="AA586" s="76"/>
      <c r="AB586" s="76"/>
      <c r="AC586" s="76"/>
    </row>
    <row r="587" spans="1:29" s="47" customFormat="1" x14ac:dyDescent="0.35">
      <c r="A587" s="46" t="s">
        <v>136</v>
      </c>
      <c r="B587" s="46" t="s">
        <v>223</v>
      </c>
      <c r="C587" s="53">
        <v>5107</v>
      </c>
      <c r="D587" s="46" t="s">
        <v>76</v>
      </c>
      <c r="E587" s="46" t="s">
        <v>150</v>
      </c>
      <c r="F587" s="47" t="s">
        <v>908</v>
      </c>
      <c r="G587" s="47">
        <v>2</v>
      </c>
      <c r="H587" s="95">
        <v>46218</v>
      </c>
      <c r="O587" s="47">
        <v>1</v>
      </c>
      <c r="V587"/>
      <c r="W587"/>
      <c r="X587"/>
      <c r="Y587"/>
      <c r="Z587"/>
      <c r="AA587"/>
      <c r="AB587"/>
      <c r="AC587"/>
    </row>
    <row r="588" spans="1:29" s="17" customFormat="1" x14ac:dyDescent="0.35">
      <c r="A588" s="21"/>
      <c r="B588" s="21"/>
      <c r="D588" s="21" t="s">
        <v>507</v>
      </c>
      <c r="E588" s="21" t="s">
        <v>508</v>
      </c>
      <c r="G588" s="17">
        <v>2</v>
      </c>
      <c r="H588" s="93"/>
      <c r="O588" s="17">
        <v>2</v>
      </c>
      <c r="V588"/>
      <c r="W588"/>
      <c r="X588"/>
      <c r="Y588"/>
      <c r="Z588"/>
      <c r="AA588"/>
      <c r="AB588"/>
      <c r="AC588"/>
    </row>
    <row r="589" spans="1:29" s="17" customFormat="1" x14ac:dyDescent="0.35">
      <c r="A589" s="21"/>
      <c r="B589" s="21"/>
      <c r="D589" s="21" t="s">
        <v>906</v>
      </c>
      <c r="E589" s="21" t="s">
        <v>907</v>
      </c>
      <c r="G589" s="17">
        <v>2</v>
      </c>
      <c r="H589" s="93"/>
      <c r="V589"/>
      <c r="W589"/>
      <c r="X589"/>
      <c r="Y589"/>
      <c r="Z589"/>
      <c r="AA589"/>
      <c r="AB589"/>
      <c r="AC589"/>
    </row>
    <row r="590" spans="1:29" s="17" customFormat="1" x14ac:dyDescent="0.35">
      <c r="A590" s="21"/>
      <c r="B590" s="21"/>
      <c r="D590" s="21" t="s">
        <v>93</v>
      </c>
      <c r="E590" s="21" t="s">
        <v>14</v>
      </c>
      <c r="G590" s="17">
        <v>2</v>
      </c>
      <c r="H590" s="93"/>
      <c r="O590" s="17">
        <v>2</v>
      </c>
      <c r="V590"/>
      <c r="W590"/>
      <c r="X590"/>
      <c r="Y590"/>
      <c r="Z590"/>
      <c r="AA590"/>
      <c r="AB590"/>
      <c r="AC590"/>
    </row>
    <row r="591" spans="1:29" s="17" customFormat="1" x14ac:dyDescent="0.35">
      <c r="A591" s="21"/>
      <c r="B591" s="21"/>
      <c r="D591" s="21" t="s">
        <v>87</v>
      </c>
      <c r="E591" s="21" t="s">
        <v>21</v>
      </c>
      <c r="G591" s="17">
        <v>2</v>
      </c>
      <c r="H591" s="93"/>
      <c r="J591" s="17">
        <v>2</v>
      </c>
      <c r="V591"/>
      <c r="W591"/>
      <c r="X591"/>
      <c r="Y591"/>
      <c r="Z591"/>
      <c r="AA591"/>
      <c r="AB591"/>
      <c r="AC591"/>
    </row>
    <row r="592" spans="1:29" s="17" customFormat="1" x14ac:dyDescent="0.35">
      <c r="A592" s="21"/>
      <c r="B592" s="21"/>
      <c r="D592" s="21" t="s">
        <v>79</v>
      </c>
      <c r="E592" s="21" t="s">
        <v>73</v>
      </c>
      <c r="G592" s="17">
        <v>2</v>
      </c>
      <c r="H592" s="93"/>
      <c r="J592" s="17">
        <v>2</v>
      </c>
      <c r="V592"/>
      <c r="W592"/>
      <c r="X592"/>
      <c r="Y592"/>
      <c r="Z592"/>
      <c r="AA592"/>
      <c r="AB592"/>
      <c r="AC592"/>
    </row>
    <row r="593" spans="1:29" s="17" customFormat="1" x14ac:dyDescent="0.35">
      <c r="A593" s="21"/>
      <c r="B593" s="21"/>
      <c r="D593" s="21" t="s">
        <v>88</v>
      </c>
      <c r="E593" s="21" t="s">
        <v>23</v>
      </c>
      <c r="G593" s="17">
        <v>2</v>
      </c>
      <c r="H593" s="93"/>
      <c r="J593" s="17">
        <v>2</v>
      </c>
      <c r="V593"/>
      <c r="W593"/>
      <c r="X593"/>
      <c r="Y593"/>
      <c r="Z593"/>
      <c r="AA593"/>
      <c r="AB593"/>
      <c r="AC593"/>
    </row>
    <row r="594" spans="1:29" s="17" customFormat="1" x14ac:dyDescent="0.35">
      <c r="A594" s="21"/>
      <c r="B594" s="21"/>
      <c r="D594" s="21" t="s">
        <v>81</v>
      </c>
      <c r="E594" s="21" t="s">
        <v>15</v>
      </c>
      <c r="G594" s="17">
        <v>2</v>
      </c>
      <c r="H594" s="93"/>
      <c r="V594"/>
      <c r="W594"/>
      <c r="X594"/>
      <c r="Y594"/>
      <c r="Z594"/>
      <c r="AA594"/>
      <c r="AB594"/>
      <c r="AC594"/>
    </row>
    <row r="595" spans="1:29" s="17" customFormat="1" x14ac:dyDescent="0.35">
      <c r="A595" s="21"/>
      <c r="B595" s="21"/>
      <c r="D595" s="21" t="s">
        <v>650</v>
      </c>
      <c r="E595" s="21" t="s">
        <v>651</v>
      </c>
      <c r="G595" s="17">
        <v>2</v>
      </c>
      <c r="H595" s="93"/>
      <c r="L595" s="17">
        <v>2</v>
      </c>
      <c r="V595"/>
      <c r="W595"/>
      <c r="X595"/>
      <c r="Y595"/>
      <c r="Z595"/>
      <c r="AA595"/>
      <c r="AB595"/>
      <c r="AC595"/>
    </row>
    <row r="596" spans="1:29" s="17" customFormat="1" x14ac:dyDescent="0.35">
      <c r="A596" s="21"/>
      <c r="B596" s="21"/>
      <c r="D596" s="21" t="s">
        <v>75</v>
      </c>
      <c r="E596" s="21" t="s">
        <v>55</v>
      </c>
      <c r="G596" s="17">
        <v>2</v>
      </c>
      <c r="H596" s="93"/>
      <c r="L596" s="17">
        <v>2</v>
      </c>
      <c r="V596"/>
      <c r="W596"/>
      <c r="X596"/>
      <c r="Y596"/>
      <c r="Z596"/>
      <c r="AA596"/>
      <c r="AB596"/>
      <c r="AC596"/>
    </row>
    <row r="597" spans="1:29" s="17" customFormat="1" x14ac:dyDescent="0.35">
      <c r="A597" s="21"/>
      <c r="B597" s="21"/>
      <c r="D597" s="21" t="s">
        <v>210</v>
      </c>
      <c r="E597" s="21" t="s">
        <v>211</v>
      </c>
      <c r="G597" s="17">
        <v>2</v>
      </c>
      <c r="H597" s="93"/>
      <c r="V597"/>
      <c r="W597"/>
      <c r="X597"/>
      <c r="Y597"/>
      <c r="Z597"/>
      <c r="AA597"/>
      <c r="AB597"/>
      <c r="AC597"/>
    </row>
    <row r="598" spans="1:29" s="17" customFormat="1" x14ac:dyDescent="0.35">
      <c r="A598" s="21"/>
      <c r="B598" s="21"/>
      <c r="D598" s="21" t="s">
        <v>176</v>
      </c>
      <c r="E598" s="21" t="s">
        <v>177</v>
      </c>
      <c r="G598" s="17">
        <v>48</v>
      </c>
      <c r="H598" s="93"/>
      <c r="V598"/>
      <c r="W598"/>
      <c r="X598"/>
      <c r="Y598"/>
      <c r="Z598"/>
      <c r="AA598"/>
      <c r="AB598"/>
      <c r="AC598"/>
    </row>
    <row r="599" spans="1:29" s="49" customFormat="1" ht="21.75" thickBot="1" x14ac:dyDescent="0.4">
      <c r="A599" s="48"/>
      <c r="B599" s="48"/>
      <c r="D599" s="48"/>
      <c r="E599" s="48"/>
      <c r="H599" s="94"/>
      <c r="V599" s="76"/>
      <c r="W599" s="76"/>
      <c r="X599" s="76"/>
      <c r="Y599" s="76"/>
      <c r="Z599" s="76"/>
      <c r="AA599" s="76"/>
      <c r="AB599" s="76"/>
      <c r="AC599" s="76"/>
    </row>
    <row r="600" spans="1:29" s="47" customFormat="1" x14ac:dyDescent="0.35">
      <c r="A600" s="46" t="s">
        <v>136</v>
      </c>
      <c r="B600" s="46" t="s">
        <v>223</v>
      </c>
      <c r="C600" s="51">
        <v>5108</v>
      </c>
      <c r="D600" s="46" t="s">
        <v>76</v>
      </c>
      <c r="E600" s="46" t="s">
        <v>150</v>
      </c>
      <c r="F600" s="47" t="s">
        <v>909</v>
      </c>
      <c r="G600" s="47">
        <v>1</v>
      </c>
      <c r="H600" s="95">
        <v>46218</v>
      </c>
      <c r="V600"/>
      <c r="W600"/>
      <c r="X600"/>
      <c r="Y600"/>
      <c r="Z600"/>
      <c r="AA600"/>
      <c r="AB600"/>
      <c r="AC600"/>
    </row>
    <row r="601" spans="1:29" s="17" customFormat="1" x14ac:dyDescent="0.35">
      <c r="A601" s="21"/>
      <c r="B601" s="21"/>
      <c r="D601" s="21" t="s">
        <v>132</v>
      </c>
      <c r="E601" s="21" t="s">
        <v>133</v>
      </c>
      <c r="G601" s="17">
        <v>1</v>
      </c>
      <c r="H601" s="93"/>
      <c r="V601"/>
      <c r="W601"/>
      <c r="X601"/>
      <c r="Y601"/>
      <c r="Z601"/>
      <c r="AA601"/>
      <c r="AB601"/>
      <c r="AC601"/>
    </row>
    <row r="602" spans="1:29" s="17" customFormat="1" x14ac:dyDescent="0.35">
      <c r="A602" s="21"/>
      <c r="B602" s="21"/>
      <c r="D602" s="21" t="s">
        <v>906</v>
      </c>
      <c r="E602" s="21" t="s">
        <v>907</v>
      </c>
      <c r="G602" s="17">
        <v>1</v>
      </c>
      <c r="H602" s="93"/>
      <c r="V602"/>
      <c r="W602"/>
      <c r="X602"/>
      <c r="Y602"/>
      <c r="Z602"/>
      <c r="AA602"/>
      <c r="AB602"/>
      <c r="AC602"/>
    </row>
    <row r="603" spans="1:29" s="17" customFormat="1" x14ac:dyDescent="0.35">
      <c r="A603" s="21"/>
      <c r="B603" s="21"/>
      <c r="D603" s="21" t="s">
        <v>93</v>
      </c>
      <c r="E603" s="21" t="s">
        <v>14</v>
      </c>
      <c r="G603" s="17">
        <v>1</v>
      </c>
      <c r="H603" s="93"/>
      <c r="V603"/>
      <c r="W603"/>
      <c r="X603"/>
      <c r="Y603"/>
      <c r="Z603"/>
      <c r="AA603"/>
      <c r="AB603"/>
      <c r="AC603"/>
    </row>
    <row r="604" spans="1:29" s="17" customFormat="1" x14ac:dyDescent="0.35">
      <c r="A604" s="21"/>
      <c r="B604" s="21"/>
      <c r="D604" s="21" t="s">
        <v>88</v>
      </c>
      <c r="E604" s="21" t="s">
        <v>23</v>
      </c>
      <c r="F604" s="56" t="s">
        <v>937</v>
      </c>
      <c r="G604" s="17">
        <v>1</v>
      </c>
      <c r="H604" s="93"/>
      <c r="V604"/>
      <c r="W604"/>
      <c r="X604"/>
      <c r="Y604"/>
      <c r="Z604"/>
      <c r="AA604"/>
      <c r="AB604"/>
      <c r="AC604"/>
    </row>
    <row r="605" spans="1:29" s="17" customFormat="1" x14ac:dyDescent="0.35">
      <c r="A605" s="21"/>
      <c r="B605" s="21"/>
      <c r="D605" s="21" t="s">
        <v>79</v>
      </c>
      <c r="E605" s="21" t="s">
        <v>73</v>
      </c>
      <c r="G605" s="17">
        <v>1</v>
      </c>
      <c r="H605" s="93"/>
      <c r="V605"/>
      <c r="W605"/>
      <c r="X605"/>
      <c r="Y605"/>
      <c r="Z605"/>
      <c r="AA605"/>
      <c r="AB605"/>
      <c r="AC605"/>
    </row>
    <row r="606" spans="1:29" s="17" customFormat="1" x14ac:dyDescent="0.35">
      <c r="A606" s="21"/>
      <c r="B606" s="21"/>
      <c r="D606" s="21" t="s">
        <v>87</v>
      </c>
      <c r="E606" s="21" t="s">
        <v>21</v>
      </c>
      <c r="G606" s="17">
        <v>1</v>
      </c>
      <c r="H606" s="93"/>
      <c r="V606"/>
      <c r="W606"/>
      <c r="X606"/>
      <c r="Y606"/>
      <c r="Z606"/>
      <c r="AA606"/>
      <c r="AB606"/>
      <c r="AC606"/>
    </row>
    <row r="607" spans="1:29" s="17" customFormat="1" x14ac:dyDescent="0.35">
      <c r="A607" s="21"/>
      <c r="B607" s="21"/>
      <c r="D607" s="21" t="s">
        <v>81</v>
      </c>
      <c r="E607" s="21" t="s">
        <v>15</v>
      </c>
      <c r="G607" s="17">
        <v>1</v>
      </c>
      <c r="H607" s="93"/>
      <c r="V607"/>
      <c r="W607"/>
      <c r="X607"/>
      <c r="Y607"/>
      <c r="Z607"/>
      <c r="AA607"/>
      <c r="AB607"/>
      <c r="AC607"/>
    </row>
    <row r="608" spans="1:29" s="17" customFormat="1" x14ac:dyDescent="0.35">
      <c r="A608" s="21"/>
      <c r="B608" s="21"/>
      <c r="D608" s="21" t="s">
        <v>650</v>
      </c>
      <c r="E608" s="21" t="s">
        <v>651</v>
      </c>
      <c r="G608" s="17">
        <v>1</v>
      </c>
      <c r="H608" s="93"/>
      <c r="V608"/>
      <c r="W608"/>
      <c r="X608"/>
      <c r="Y608"/>
      <c r="Z608"/>
      <c r="AA608"/>
      <c r="AB608"/>
      <c r="AC608"/>
    </row>
    <row r="609" spans="1:29" s="17" customFormat="1" x14ac:dyDescent="0.35">
      <c r="A609" s="21"/>
      <c r="B609" s="21"/>
      <c r="D609" s="21" t="s">
        <v>75</v>
      </c>
      <c r="E609" s="21" t="s">
        <v>55</v>
      </c>
      <c r="G609" s="17">
        <v>1</v>
      </c>
      <c r="H609" s="93"/>
      <c r="V609"/>
      <c r="W609"/>
      <c r="X609"/>
      <c r="Y609"/>
      <c r="Z609"/>
      <c r="AA609"/>
      <c r="AB609"/>
      <c r="AC609"/>
    </row>
    <row r="610" spans="1:29" s="17" customFormat="1" x14ac:dyDescent="0.35">
      <c r="A610" s="21"/>
      <c r="B610" s="21"/>
      <c r="D610" s="21" t="s">
        <v>210</v>
      </c>
      <c r="E610" s="21" t="s">
        <v>211</v>
      </c>
      <c r="G610" s="17">
        <v>1</v>
      </c>
      <c r="H610" s="93"/>
      <c r="V610"/>
      <c r="W610"/>
      <c r="X610"/>
      <c r="Y610"/>
      <c r="Z610"/>
      <c r="AA610"/>
      <c r="AB610"/>
      <c r="AC610"/>
    </row>
    <row r="611" spans="1:29" s="17" customFormat="1" x14ac:dyDescent="0.35">
      <c r="A611" s="21"/>
      <c r="B611" s="21"/>
      <c r="D611" s="21" t="s">
        <v>176</v>
      </c>
      <c r="E611" s="21" t="s">
        <v>177</v>
      </c>
      <c r="G611" s="17">
        <v>24</v>
      </c>
      <c r="H611" s="93"/>
      <c r="V611"/>
      <c r="W611"/>
      <c r="X611"/>
      <c r="Y611"/>
      <c r="Z611"/>
      <c r="AA611"/>
      <c r="AB611"/>
      <c r="AC611"/>
    </row>
    <row r="612" spans="1:29" s="49" customFormat="1" ht="21.75" thickBot="1" x14ac:dyDescent="0.4">
      <c r="A612" s="48"/>
      <c r="B612" s="48"/>
      <c r="D612" s="48"/>
      <c r="E612" s="48"/>
      <c r="H612" s="94"/>
      <c r="V612" s="76"/>
      <c r="W612" s="76"/>
      <c r="X612" s="76"/>
      <c r="Y612" s="76"/>
      <c r="Z612" s="76"/>
      <c r="AA612" s="76"/>
      <c r="AB612" s="76"/>
      <c r="AC612" s="76"/>
    </row>
    <row r="613" spans="1:29" s="47" customFormat="1" x14ac:dyDescent="0.35">
      <c r="A613" s="46" t="s">
        <v>675</v>
      </c>
      <c r="B613" s="46" t="s">
        <v>834</v>
      </c>
      <c r="C613" s="53">
        <v>5109</v>
      </c>
      <c r="D613" s="46" t="s">
        <v>676</v>
      </c>
      <c r="E613" s="46" t="s">
        <v>677</v>
      </c>
      <c r="F613" s="47" t="s">
        <v>910</v>
      </c>
      <c r="G613" s="47">
        <v>1</v>
      </c>
      <c r="H613" s="95">
        <v>46218</v>
      </c>
      <c r="V613"/>
      <c r="W613"/>
      <c r="X613"/>
      <c r="Y613"/>
      <c r="Z613"/>
      <c r="AA613"/>
      <c r="AB613"/>
      <c r="AC613"/>
    </row>
    <row r="614" spans="1:29" s="49" customFormat="1" ht="21.75" thickBot="1" x14ac:dyDescent="0.4">
      <c r="A614" s="48"/>
      <c r="B614" s="48"/>
      <c r="D614" s="48"/>
      <c r="E614" s="48"/>
      <c r="F614" s="56" t="s">
        <v>144</v>
      </c>
      <c r="H614" s="94"/>
      <c r="V614" s="76"/>
      <c r="W614" s="76"/>
      <c r="X614" s="76"/>
      <c r="Y614" s="76"/>
      <c r="Z614" s="76"/>
      <c r="AA614" s="76"/>
      <c r="AB614" s="76"/>
      <c r="AC614" s="76"/>
    </row>
    <row r="615" spans="1:29" s="47" customFormat="1" x14ac:dyDescent="0.35">
      <c r="A615" s="46" t="s">
        <v>911</v>
      </c>
      <c r="B615" s="46" t="s">
        <v>220</v>
      </c>
      <c r="C615" s="54">
        <v>5110</v>
      </c>
      <c r="D615" s="46" t="s">
        <v>912</v>
      </c>
      <c r="E615" s="46" t="s">
        <v>913</v>
      </c>
      <c r="F615" s="47" t="s">
        <v>914</v>
      </c>
      <c r="G615" s="47">
        <v>1</v>
      </c>
      <c r="H615" s="95">
        <v>46218</v>
      </c>
      <c r="L615" s="47">
        <v>0.25</v>
      </c>
      <c r="P615" s="47">
        <v>0.25</v>
      </c>
      <c r="V615"/>
      <c r="W615"/>
      <c r="X615"/>
      <c r="Y615"/>
      <c r="Z615"/>
      <c r="AA615"/>
      <c r="AB615"/>
      <c r="AC615"/>
    </row>
    <row r="616" spans="1:29" s="49" customFormat="1" ht="21.75" thickBot="1" x14ac:dyDescent="0.4">
      <c r="A616" s="48"/>
      <c r="B616" s="48"/>
      <c r="D616" s="48"/>
      <c r="E616" s="48"/>
      <c r="H616" s="94"/>
      <c r="V616" s="76"/>
      <c r="W616" s="76"/>
      <c r="X616" s="76"/>
      <c r="Y616" s="76"/>
      <c r="Z616" s="76"/>
      <c r="AA616" s="76"/>
      <c r="AB616" s="76"/>
      <c r="AC616" s="76"/>
    </row>
    <row r="617" spans="1:29" s="47" customFormat="1" x14ac:dyDescent="0.35">
      <c r="A617" s="46" t="s">
        <v>11</v>
      </c>
      <c r="B617" s="46" t="s">
        <v>163</v>
      </c>
      <c r="C617" s="53">
        <v>5111</v>
      </c>
      <c r="D617" s="46" t="s">
        <v>915</v>
      </c>
      <c r="E617" s="46" t="s">
        <v>916</v>
      </c>
      <c r="F617" s="47" t="s">
        <v>919</v>
      </c>
      <c r="G617" s="47">
        <v>1</v>
      </c>
      <c r="H617" s="95">
        <v>46220</v>
      </c>
      <c r="K617" s="47">
        <v>0.33</v>
      </c>
      <c r="L617" s="47">
        <v>0.33</v>
      </c>
      <c r="N617" s="47">
        <v>0.33</v>
      </c>
      <c r="V617"/>
      <c r="W617"/>
      <c r="X617"/>
      <c r="Y617"/>
      <c r="Z617"/>
      <c r="AA617"/>
      <c r="AB617"/>
      <c r="AC617"/>
    </row>
    <row r="618" spans="1:29" s="17" customFormat="1" x14ac:dyDescent="0.35">
      <c r="A618" s="21"/>
      <c r="B618" s="21"/>
      <c r="C618" s="23"/>
      <c r="D618" s="21" t="s">
        <v>83</v>
      </c>
      <c r="E618" s="21" t="s">
        <v>12</v>
      </c>
      <c r="G618" s="17">
        <v>1</v>
      </c>
      <c r="H618" s="93"/>
      <c r="V618"/>
      <c r="W618"/>
      <c r="X618"/>
      <c r="Y618"/>
      <c r="Z618"/>
      <c r="AA618"/>
      <c r="AB618"/>
      <c r="AC618"/>
    </row>
    <row r="619" spans="1:29" s="17" customFormat="1" x14ac:dyDescent="0.35">
      <c r="A619" s="21"/>
      <c r="B619" s="21"/>
      <c r="D619" s="21" t="s">
        <v>84</v>
      </c>
      <c r="E619" s="21" t="s">
        <v>13</v>
      </c>
      <c r="G619" s="17">
        <v>1</v>
      </c>
      <c r="H619" s="93"/>
      <c r="V619"/>
      <c r="W619"/>
      <c r="X619"/>
      <c r="Y619"/>
      <c r="Z619"/>
      <c r="AA619"/>
      <c r="AB619"/>
      <c r="AC619"/>
    </row>
    <row r="620" spans="1:29" s="17" customFormat="1" x14ac:dyDescent="0.35">
      <c r="A620" s="21"/>
      <c r="B620" s="21"/>
      <c r="D620" s="21" t="s">
        <v>917</v>
      </c>
      <c r="E620" s="21" t="s">
        <v>918</v>
      </c>
      <c r="G620" s="17">
        <v>1</v>
      </c>
      <c r="H620" s="93"/>
      <c r="K620" s="17">
        <v>0.33</v>
      </c>
      <c r="L620" s="17">
        <v>0.33</v>
      </c>
      <c r="N620" s="17">
        <v>0.33</v>
      </c>
      <c r="V620"/>
      <c r="W620"/>
      <c r="X620"/>
      <c r="Y620"/>
      <c r="Z620"/>
      <c r="AA620"/>
      <c r="AB620"/>
      <c r="AC620"/>
    </row>
    <row r="621" spans="1:29" s="17" customFormat="1" x14ac:dyDescent="0.35">
      <c r="A621" s="21"/>
      <c r="B621" s="21"/>
      <c r="D621" s="21" t="s">
        <v>402</v>
      </c>
      <c r="E621" s="21" t="s">
        <v>403</v>
      </c>
      <c r="G621" s="17">
        <v>1</v>
      </c>
      <c r="H621" s="93"/>
      <c r="V621"/>
      <c r="W621"/>
      <c r="X621"/>
      <c r="Y621"/>
      <c r="Z621"/>
      <c r="AA621"/>
      <c r="AB621"/>
      <c r="AC621"/>
    </row>
    <row r="622" spans="1:29" s="17" customFormat="1" x14ac:dyDescent="0.35">
      <c r="A622" s="21"/>
      <c r="B622" s="21"/>
      <c r="D622" s="21" t="s">
        <v>93</v>
      </c>
      <c r="E622" s="21" t="s">
        <v>14</v>
      </c>
      <c r="G622" s="17">
        <v>1</v>
      </c>
      <c r="H622" s="93"/>
      <c r="K622" s="17">
        <v>0.33</v>
      </c>
      <c r="L622" s="17">
        <v>0.33</v>
      </c>
      <c r="N622" s="17">
        <v>0.33</v>
      </c>
      <c r="V622"/>
      <c r="W622"/>
      <c r="X622"/>
      <c r="Y622"/>
      <c r="Z622"/>
      <c r="AA622"/>
      <c r="AB622"/>
      <c r="AC622"/>
    </row>
    <row r="623" spans="1:29" s="17" customFormat="1" x14ac:dyDescent="0.35">
      <c r="A623" s="21"/>
      <c r="B623" s="21"/>
      <c r="D623" s="21" t="s">
        <v>87</v>
      </c>
      <c r="E623" s="21" t="s">
        <v>21</v>
      </c>
      <c r="G623" s="17">
        <v>1</v>
      </c>
      <c r="H623" s="93"/>
      <c r="K623" s="17">
        <v>0.33</v>
      </c>
      <c r="L623" s="17">
        <v>0.33</v>
      </c>
      <c r="N623" s="17">
        <v>0.33</v>
      </c>
      <c r="V623"/>
      <c r="W623"/>
      <c r="X623"/>
      <c r="Y623"/>
      <c r="Z623"/>
      <c r="AA623"/>
      <c r="AB623"/>
      <c r="AC623"/>
    </row>
    <row r="624" spans="1:29" s="17" customFormat="1" x14ac:dyDescent="0.35">
      <c r="A624" s="21"/>
      <c r="B624" s="21"/>
      <c r="D624" s="21" t="s">
        <v>99</v>
      </c>
      <c r="E624" s="21" t="s">
        <v>766</v>
      </c>
      <c r="G624" s="17">
        <v>1</v>
      </c>
      <c r="H624" s="93"/>
      <c r="K624" s="17">
        <v>0.33</v>
      </c>
      <c r="L624" s="17">
        <v>0.33</v>
      </c>
      <c r="N624" s="17">
        <v>0.33</v>
      </c>
      <c r="V624"/>
      <c r="W624"/>
      <c r="X624"/>
      <c r="Y624"/>
      <c r="Z624"/>
      <c r="AA624"/>
      <c r="AB624"/>
      <c r="AC624"/>
    </row>
    <row r="625" spans="1:29" s="17" customFormat="1" x14ac:dyDescent="0.35">
      <c r="A625" s="21"/>
      <c r="B625" s="21"/>
      <c r="D625" s="21" t="s">
        <v>81</v>
      </c>
      <c r="E625" s="21" t="s">
        <v>15</v>
      </c>
      <c r="G625" s="17">
        <v>1</v>
      </c>
      <c r="H625" s="93"/>
      <c r="K625" s="17">
        <v>0.33</v>
      </c>
      <c r="L625" s="17">
        <v>0.33</v>
      </c>
      <c r="N625" s="17">
        <v>0.33</v>
      </c>
      <c r="V625"/>
      <c r="W625"/>
      <c r="X625"/>
      <c r="Y625"/>
      <c r="Z625"/>
      <c r="AA625"/>
      <c r="AB625"/>
      <c r="AC625"/>
    </row>
    <row r="626" spans="1:29" s="17" customFormat="1" x14ac:dyDescent="0.35">
      <c r="A626" s="21"/>
      <c r="B626" s="21"/>
      <c r="D626" s="21" t="s">
        <v>491</v>
      </c>
      <c r="E626" s="21" t="s">
        <v>492</v>
      </c>
      <c r="G626" s="17">
        <v>1</v>
      </c>
      <c r="H626" s="93"/>
      <c r="V626"/>
      <c r="W626"/>
      <c r="X626"/>
      <c r="Y626"/>
      <c r="Z626"/>
      <c r="AA626"/>
      <c r="AB626"/>
      <c r="AC626"/>
    </row>
    <row r="627" spans="1:29" s="17" customFormat="1" x14ac:dyDescent="0.35">
      <c r="A627" s="21"/>
      <c r="B627" s="21"/>
      <c r="D627" s="21" t="s">
        <v>98</v>
      </c>
      <c r="E627" s="21" t="s">
        <v>57</v>
      </c>
      <c r="G627" s="17">
        <v>1</v>
      </c>
      <c r="H627" s="93"/>
      <c r="V627"/>
      <c r="W627"/>
      <c r="X627"/>
      <c r="Y627"/>
      <c r="Z627"/>
      <c r="AA627"/>
      <c r="AB627"/>
      <c r="AC627"/>
    </row>
    <row r="628" spans="1:29" s="17" customFormat="1" x14ac:dyDescent="0.35">
      <c r="A628" s="21"/>
      <c r="B628" s="21"/>
      <c r="D628" s="21" t="s">
        <v>100</v>
      </c>
      <c r="E628" s="21" t="s">
        <v>50</v>
      </c>
      <c r="G628" s="17">
        <v>1</v>
      </c>
      <c r="H628" s="93"/>
      <c r="V628"/>
      <c r="W628"/>
      <c r="X628"/>
      <c r="Y628"/>
      <c r="Z628"/>
      <c r="AA628"/>
      <c r="AB628"/>
      <c r="AC628"/>
    </row>
    <row r="629" spans="1:29" s="17" customFormat="1" x14ac:dyDescent="0.35">
      <c r="A629" s="21"/>
      <c r="B629" s="21"/>
      <c r="D629" s="21" t="s">
        <v>109</v>
      </c>
      <c r="E629" s="21" t="s">
        <v>110</v>
      </c>
      <c r="G629" s="17">
        <v>2</v>
      </c>
      <c r="H629" s="93"/>
      <c r="V629"/>
      <c r="W629"/>
      <c r="X629"/>
      <c r="Y629"/>
      <c r="Z629"/>
      <c r="AA629"/>
      <c r="AB629"/>
      <c r="AC629"/>
    </row>
    <row r="630" spans="1:29" s="49" customFormat="1" ht="21.75" thickBot="1" x14ac:dyDescent="0.4">
      <c r="A630" s="48"/>
      <c r="B630" s="48"/>
      <c r="D630" s="48"/>
      <c r="E630" s="48"/>
      <c r="H630" s="94"/>
      <c r="V630" s="76"/>
      <c r="W630" s="76"/>
      <c r="X630" s="76"/>
      <c r="Y630" s="76"/>
      <c r="Z630" s="76"/>
      <c r="AA630" s="76"/>
      <c r="AB630" s="76"/>
      <c r="AC630" s="76"/>
    </row>
    <row r="631" spans="1:29" s="47" customFormat="1" x14ac:dyDescent="0.35">
      <c r="A631" s="46" t="s">
        <v>11</v>
      </c>
      <c r="B631" s="46" t="s">
        <v>163</v>
      </c>
      <c r="C631" s="53">
        <v>5112</v>
      </c>
      <c r="D631" s="46" t="s">
        <v>97</v>
      </c>
      <c r="E631" s="46" t="s">
        <v>24</v>
      </c>
      <c r="F631" s="47" t="s">
        <v>660</v>
      </c>
      <c r="G631" s="47">
        <v>1</v>
      </c>
      <c r="H631" s="95">
        <v>46220</v>
      </c>
      <c r="K631" s="47">
        <v>0.5</v>
      </c>
      <c r="N631" s="47">
        <v>0.5</v>
      </c>
      <c r="V631"/>
      <c r="W631"/>
      <c r="X631"/>
      <c r="Y631"/>
      <c r="Z631"/>
      <c r="AA631"/>
      <c r="AB631"/>
      <c r="AC631"/>
    </row>
    <row r="632" spans="1:29" s="17" customFormat="1" x14ac:dyDescent="0.35">
      <c r="A632" s="21"/>
      <c r="B632" s="21"/>
      <c r="D632" s="21" t="s">
        <v>100</v>
      </c>
      <c r="E632" s="21" t="s">
        <v>50</v>
      </c>
      <c r="G632" s="17">
        <v>1</v>
      </c>
      <c r="H632" s="93"/>
      <c r="V632"/>
      <c r="W632"/>
      <c r="X632"/>
      <c r="Y632"/>
      <c r="Z632"/>
      <c r="AA632"/>
      <c r="AB632"/>
      <c r="AC632"/>
    </row>
    <row r="633" spans="1:29" s="17" customFormat="1" x14ac:dyDescent="0.35">
      <c r="A633" s="21"/>
      <c r="B633" s="21"/>
      <c r="D633" s="21" t="s">
        <v>353</v>
      </c>
      <c r="E633" s="21">
        <v>1</v>
      </c>
      <c r="F633" s="17">
        <v>1</v>
      </c>
      <c r="G633" s="17">
        <v>1</v>
      </c>
      <c r="H633" s="93">
        <v>1</v>
      </c>
      <c r="I633" s="17">
        <v>1</v>
      </c>
      <c r="J633" s="17">
        <v>1</v>
      </c>
      <c r="K633" s="17">
        <v>1</v>
      </c>
      <c r="L633" s="17">
        <v>1</v>
      </c>
      <c r="M633" s="17">
        <v>1</v>
      </c>
      <c r="N633" s="17">
        <v>1</v>
      </c>
      <c r="V633"/>
      <c r="W633"/>
      <c r="X633"/>
      <c r="Y633"/>
      <c r="Z633"/>
      <c r="AA633"/>
      <c r="AB633"/>
      <c r="AC633"/>
    </row>
    <row r="634" spans="1:29" s="17" customFormat="1" x14ac:dyDescent="0.35">
      <c r="A634" s="21"/>
      <c r="B634" s="21"/>
      <c r="D634" s="21" t="s">
        <v>402</v>
      </c>
      <c r="E634" s="21" t="s">
        <v>403</v>
      </c>
      <c r="G634" s="17">
        <v>1</v>
      </c>
      <c r="H634" s="93"/>
      <c r="V634"/>
      <c r="W634"/>
      <c r="X634"/>
      <c r="Y634"/>
      <c r="Z634"/>
      <c r="AA634"/>
      <c r="AB634"/>
      <c r="AC634"/>
    </row>
    <row r="635" spans="1:29" s="17" customFormat="1" x14ac:dyDescent="0.35">
      <c r="A635" s="21"/>
      <c r="B635" s="21"/>
      <c r="D635" s="21" t="s">
        <v>98</v>
      </c>
      <c r="E635" s="21" t="s">
        <v>57</v>
      </c>
      <c r="G635" s="17">
        <v>1</v>
      </c>
      <c r="H635" s="93"/>
      <c r="V635"/>
      <c r="W635"/>
      <c r="X635"/>
      <c r="Y635"/>
      <c r="Z635"/>
      <c r="AA635"/>
      <c r="AB635"/>
      <c r="AC635"/>
    </row>
    <row r="636" spans="1:29" s="17" customFormat="1" x14ac:dyDescent="0.35">
      <c r="A636" s="21"/>
      <c r="B636" s="21"/>
      <c r="D636" s="21" t="s">
        <v>137</v>
      </c>
      <c r="E636" s="21" t="s">
        <v>138</v>
      </c>
      <c r="G636" s="17">
        <v>3</v>
      </c>
      <c r="H636" s="93"/>
      <c r="V636"/>
      <c r="W636"/>
      <c r="X636"/>
      <c r="Y636"/>
      <c r="Z636"/>
      <c r="AA636"/>
      <c r="AB636"/>
      <c r="AC636"/>
    </row>
    <row r="637" spans="1:29" s="17" customFormat="1" x14ac:dyDescent="0.35">
      <c r="A637" s="21"/>
      <c r="B637" s="21"/>
      <c r="D637" s="21" t="s">
        <v>87</v>
      </c>
      <c r="E637" s="21" t="s">
        <v>662</v>
      </c>
      <c r="G637" s="17">
        <v>1</v>
      </c>
      <c r="H637" s="93"/>
      <c r="K637" s="17">
        <v>1</v>
      </c>
      <c r="N637" s="17">
        <v>1</v>
      </c>
      <c r="V637"/>
      <c r="W637"/>
      <c r="X637"/>
      <c r="Y637"/>
      <c r="Z637"/>
      <c r="AA637"/>
      <c r="AB637"/>
      <c r="AC637"/>
    </row>
    <row r="638" spans="1:29" s="17" customFormat="1" x14ac:dyDescent="0.35">
      <c r="A638" s="21"/>
      <c r="B638" s="21"/>
      <c r="D638" s="21" t="s">
        <v>93</v>
      </c>
      <c r="E638" s="21" t="s">
        <v>14</v>
      </c>
      <c r="G638" s="17">
        <v>1</v>
      </c>
      <c r="H638" s="93"/>
      <c r="K638" s="17">
        <v>1</v>
      </c>
      <c r="N638" s="17">
        <v>1</v>
      </c>
      <c r="V638"/>
      <c r="W638"/>
      <c r="X638"/>
      <c r="Y638"/>
      <c r="Z638"/>
      <c r="AA638"/>
      <c r="AB638"/>
      <c r="AC638"/>
    </row>
    <row r="639" spans="1:29" s="17" customFormat="1" x14ac:dyDescent="0.35">
      <c r="A639" s="21"/>
      <c r="B639" s="21"/>
      <c r="D639" s="21" t="s">
        <v>99</v>
      </c>
      <c r="E639" s="21" t="s">
        <v>920</v>
      </c>
      <c r="G639" s="17">
        <v>1</v>
      </c>
      <c r="H639" s="93"/>
      <c r="K639" s="17">
        <v>1</v>
      </c>
      <c r="N639" s="17">
        <v>1</v>
      </c>
      <c r="V639"/>
      <c r="W639"/>
      <c r="X639"/>
      <c r="Y639"/>
      <c r="Z639"/>
      <c r="AA639"/>
      <c r="AB639"/>
      <c r="AC639"/>
    </row>
    <row r="640" spans="1:29" s="17" customFormat="1" x14ac:dyDescent="0.35">
      <c r="A640" s="21"/>
      <c r="B640" s="21"/>
      <c r="D640" s="21" t="s">
        <v>82</v>
      </c>
      <c r="E640" s="21" t="s">
        <v>26</v>
      </c>
      <c r="G640" s="17">
        <v>1</v>
      </c>
      <c r="H640" s="93"/>
      <c r="V640"/>
      <c r="W640"/>
      <c r="X640"/>
      <c r="Y640"/>
      <c r="Z640"/>
      <c r="AA640"/>
      <c r="AB640"/>
      <c r="AC640"/>
    </row>
    <row r="641" spans="1:29" s="17" customFormat="1" x14ac:dyDescent="0.35">
      <c r="A641" s="21"/>
      <c r="B641" s="21"/>
      <c r="D641" s="21" t="s">
        <v>107</v>
      </c>
      <c r="E641" s="21" t="s">
        <v>406</v>
      </c>
      <c r="G641" s="17">
        <v>1</v>
      </c>
      <c r="H641" s="93"/>
      <c r="K641" s="17">
        <v>1</v>
      </c>
      <c r="N641" s="17">
        <v>1</v>
      </c>
      <c r="V641"/>
      <c r="W641"/>
      <c r="X641"/>
      <c r="Y641"/>
      <c r="Z641"/>
      <c r="AA641"/>
      <c r="AB641"/>
      <c r="AC641"/>
    </row>
    <row r="642" spans="1:29" s="17" customFormat="1" x14ac:dyDescent="0.35">
      <c r="A642" s="21"/>
      <c r="B642" s="21"/>
      <c r="D642" s="21" t="s">
        <v>127</v>
      </c>
      <c r="E642" s="21" t="s">
        <v>128</v>
      </c>
      <c r="G642" s="17">
        <v>1</v>
      </c>
      <c r="H642" s="93"/>
      <c r="V642"/>
      <c r="W642"/>
      <c r="X642"/>
      <c r="Y642"/>
      <c r="Z642"/>
      <c r="AA642"/>
      <c r="AB642"/>
      <c r="AC642"/>
    </row>
    <row r="643" spans="1:29" s="17" customFormat="1" x14ac:dyDescent="0.35">
      <c r="A643" s="21"/>
      <c r="B643" s="21"/>
      <c r="D643" s="21" t="s">
        <v>372</v>
      </c>
      <c r="E643" s="21" t="s">
        <v>373</v>
      </c>
      <c r="G643" s="17">
        <v>1</v>
      </c>
      <c r="H643" s="93"/>
      <c r="V643"/>
      <c r="W643"/>
      <c r="X643"/>
      <c r="Y643"/>
      <c r="Z643"/>
      <c r="AA643"/>
      <c r="AB643"/>
      <c r="AC643"/>
    </row>
    <row r="644" spans="1:29" s="49" customFormat="1" ht="21.75" thickBot="1" x14ac:dyDescent="0.4">
      <c r="D644" s="48"/>
      <c r="E644" s="48"/>
      <c r="H644" s="94"/>
      <c r="V644" s="76"/>
      <c r="W644" s="76"/>
      <c r="X644" s="76"/>
      <c r="Y644" s="76"/>
      <c r="Z644" s="76"/>
      <c r="AA644" s="76"/>
      <c r="AB644" s="76"/>
      <c r="AC644" s="76"/>
    </row>
    <row r="645" spans="1:29" s="47" customFormat="1" ht="21.75" thickBot="1" x14ac:dyDescent="0.4">
      <c r="A645" s="48" t="s">
        <v>684</v>
      </c>
      <c r="B645" s="48" t="s">
        <v>220</v>
      </c>
      <c r="C645" s="47">
        <v>5113</v>
      </c>
      <c r="D645" s="46" t="s">
        <v>685</v>
      </c>
      <c r="E645" s="46" t="s">
        <v>686</v>
      </c>
      <c r="F645" s="56" t="s">
        <v>219</v>
      </c>
      <c r="G645" s="47">
        <v>6</v>
      </c>
      <c r="H645" s="95">
        <v>46220</v>
      </c>
      <c r="V645"/>
      <c r="W645"/>
      <c r="X645"/>
      <c r="Y645"/>
      <c r="Z645"/>
      <c r="AA645"/>
      <c r="AB645"/>
      <c r="AC645"/>
    </row>
    <row r="646" spans="1:29" s="49" customFormat="1" ht="21.75" thickBot="1" x14ac:dyDescent="0.4">
      <c r="A646" s="48"/>
      <c r="B646" s="48"/>
      <c r="D646" s="48"/>
      <c r="E646" s="48"/>
      <c r="H646" s="94"/>
      <c r="V646" s="76"/>
      <c r="W646" s="76"/>
      <c r="X646" s="76"/>
      <c r="Y646" s="76"/>
      <c r="Z646" s="76"/>
      <c r="AA646" s="76"/>
      <c r="AB646" s="76"/>
      <c r="AC646" s="76"/>
    </row>
    <row r="647" spans="1:29" s="47" customFormat="1" x14ac:dyDescent="0.35">
      <c r="A647" s="46" t="s">
        <v>930</v>
      </c>
      <c r="B647" s="46" t="s">
        <v>220</v>
      </c>
      <c r="C647" s="47">
        <v>5114</v>
      </c>
      <c r="D647" s="46" t="s">
        <v>76</v>
      </c>
      <c r="E647" s="46" t="s">
        <v>150</v>
      </c>
      <c r="F647" s="47" t="s">
        <v>931</v>
      </c>
      <c r="G647" s="47">
        <v>4</v>
      </c>
      <c r="H647" s="95">
        <v>46223</v>
      </c>
      <c r="M647" s="47">
        <v>1</v>
      </c>
      <c r="Q647" s="47">
        <v>1</v>
      </c>
      <c r="V647"/>
      <c r="W647"/>
      <c r="X647"/>
      <c r="Y647"/>
      <c r="Z647"/>
      <c r="AA647"/>
      <c r="AB647"/>
      <c r="AC647"/>
    </row>
    <row r="648" spans="1:29" s="17" customFormat="1" x14ac:dyDescent="0.35">
      <c r="A648" s="21"/>
      <c r="B648" s="21"/>
      <c r="D648" s="21" t="s">
        <v>141</v>
      </c>
      <c r="E648" s="21" t="s">
        <v>151</v>
      </c>
      <c r="G648" s="17">
        <v>4</v>
      </c>
      <c r="H648" s="93"/>
      <c r="M648" s="17">
        <v>2</v>
      </c>
      <c r="Q648" s="17">
        <v>2</v>
      </c>
      <c r="V648"/>
      <c r="W648"/>
      <c r="X648"/>
      <c r="Y648"/>
      <c r="Z648"/>
      <c r="AA648"/>
      <c r="AB648"/>
      <c r="AC648"/>
    </row>
    <row r="649" spans="1:29" s="17" customFormat="1" x14ac:dyDescent="0.35">
      <c r="A649" s="21"/>
      <c r="B649" s="21"/>
      <c r="D649" s="21" t="s">
        <v>77</v>
      </c>
      <c r="E649" s="21" t="s">
        <v>20</v>
      </c>
      <c r="G649" s="17">
        <v>4</v>
      </c>
      <c r="H649" s="93"/>
      <c r="V649"/>
      <c r="W649"/>
      <c r="X649"/>
      <c r="Y649"/>
      <c r="Z649"/>
      <c r="AA649"/>
      <c r="AB649"/>
      <c r="AC649"/>
    </row>
    <row r="650" spans="1:29" s="17" customFormat="1" x14ac:dyDescent="0.35">
      <c r="A650" s="21"/>
      <c r="B650" s="21"/>
      <c r="D650" s="21" t="s">
        <v>217</v>
      </c>
      <c r="E650" s="21" t="s">
        <v>218</v>
      </c>
      <c r="G650" s="17">
        <v>4</v>
      </c>
      <c r="H650" s="93"/>
      <c r="V650"/>
      <c r="W650"/>
      <c r="X650"/>
      <c r="Y650"/>
      <c r="Z650"/>
      <c r="AA650"/>
      <c r="AB650"/>
      <c r="AC650"/>
    </row>
    <row r="651" spans="1:29" s="17" customFormat="1" x14ac:dyDescent="0.35">
      <c r="A651" s="21"/>
      <c r="B651" s="21"/>
      <c r="D651" s="21" t="s">
        <v>84</v>
      </c>
      <c r="E651" s="21" t="s">
        <v>13</v>
      </c>
      <c r="G651" s="17">
        <v>4</v>
      </c>
      <c r="H651" s="93"/>
      <c r="V651"/>
      <c r="W651"/>
      <c r="X651"/>
      <c r="Y651"/>
      <c r="Z651"/>
      <c r="AA651"/>
      <c r="AB651"/>
      <c r="AC651"/>
    </row>
    <row r="652" spans="1:29" s="17" customFormat="1" x14ac:dyDescent="0.35">
      <c r="A652" s="21"/>
      <c r="B652" s="21"/>
      <c r="D652" s="21" t="s">
        <v>78</v>
      </c>
      <c r="E652" s="21" t="s">
        <v>16</v>
      </c>
      <c r="G652" s="17">
        <v>4</v>
      </c>
      <c r="H652" s="93"/>
      <c r="V652"/>
      <c r="W652"/>
      <c r="X652"/>
      <c r="Y652"/>
      <c r="Z652"/>
      <c r="AA652"/>
      <c r="AB652"/>
      <c r="AC652"/>
    </row>
    <row r="653" spans="1:29" s="17" customFormat="1" x14ac:dyDescent="0.35">
      <c r="A653" s="21"/>
      <c r="B653" s="21"/>
      <c r="D653" s="21" t="s">
        <v>93</v>
      </c>
      <c r="E653" s="21" t="s">
        <v>14</v>
      </c>
      <c r="G653" s="17">
        <v>4</v>
      </c>
      <c r="H653" s="93"/>
      <c r="J653" s="17">
        <v>1.33</v>
      </c>
      <c r="M653" s="17">
        <v>1.33</v>
      </c>
      <c r="Q653" s="17">
        <v>1.33</v>
      </c>
      <c r="V653"/>
      <c r="W653"/>
      <c r="X653"/>
      <c r="Y653"/>
      <c r="Z653"/>
      <c r="AA653"/>
      <c r="AB653"/>
      <c r="AC653"/>
    </row>
    <row r="654" spans="1:29" s="17" customFormat="1" x14ac:dyDescent="0.35">
      <c r="A654" s="21"/>
      <c r="B654" s="21"/>
      <c r="D654" s="21" t="s">
        <v>123</v>
      </c>
      <c r="E654" s="21" t="s">
        <v>25</v>
      </c>
      <c r="G654" s="17">
        <v>4</v>
      </c>
      <c r="H654" s="93"/>
      <c r="J654" s="17">
        <v>4</v>
      </c>
      <c r="V654"/>
      <c r="W654"/>
      <c r="X654"/>
      <c r="Y654"/>
      <c r="Z654"/>
      <c r="AA654"/>
      <c r="AB654"/>
      <c r="AC654"/>
    </row>
    <row r="655" spans="1:29" s="17" customFormat="1" x14ac:dyDescent="0.35">
      <c r="A655" s="21"/>
      <c r="B655" s="21"/>
      <c r="D655" s="21" t="s">
        <v>87</v>
      </c>
      <c r="E655" s="21" t="s">
        <v>21</v>
      </c>
      <c r="G655" s="17">
        <v>4</v>
      </c>
      <c r="H655" s="93"/>
      <c r="J655" s="17">
        <v>4</v>
      </c>
      <c r="V655"/>
      <c r="W655"/>
      <c r="X655"/>
      <c r="Y655"/>
      <c r="Z655"/>
      <c r="AA655"/>
      <c r="AB655"/>
      <c r="AC655"/>
    </row>
    <row r="656" spans="1:29" s="17" customFormat="1" x14ac:dyDescent="0.35">
      <c r="A656" s="21"/>
      <c r="B656" s="21"/>
      <c r="D656" s="21" t="s">
        <v>79</v>
      </c>
      <c r="E656" s="21" t="s">
        <v>73</v>
      </c>
      <c r="G656" s="17">
        <v>4</v>
      </c>
      <c r="H656" s="93"/>
      <c r="J656" s="17">
        <v>4</v>
      </c>
      <c r="V656"/>
      <c r="W656"/>
      <c r="X656"/>
      <c r="Y656"/>
      <c r="Z656"/>
      <c r="AA656"/>
      <c r="AB656"/>
      <c r="AC656"/>
    </row>
    <row r="657" spans="1:29" s="17" customFormat="1" x14ac:dyDescent="0.35">
      <c r="A657" s="21"/>
      <c r="B657" s="21"/>
      <c r="D657" s="21" t="s">
        <v>75</v>
      </c>
      <c r="E657" s="21" t="s">
        <v>55</v>
      </c>
      <c r="G657" s="17">
        <v>4</v>
      </c>
      <c r="H657" s="93"/>
      <c r="J657" s="17">
        <v>4</v>
      </c>
      <c r="V657"/>
      <c r="W657"/>
      <c r="X657"/>
      <c r="Y657"/>
      <c r="Z657"/>
      <c r="AA657"/>
      <c r="AB657"/>
      <c r="AC657"/>
    </row>
    <row r="658" spans="1:29" s="17" customFormat="1" x14ac:dyDescent="0.35">
      <c r="A658" s="21"/>
      <c r="B658" s="21"/>
      <c r="D658" s="21" t="s">
        <v>750</v>
      </c>
      <c r="E658" s="21" t="s">
        <v>751</v>
      </c>
      <c r="G658" s="17">
        <v>96</v>
      </c>
      <c r="H658" s="93"/>
      <c r="V658"/>
      <c r="W658"/>
      <c r="X658"/>
      <c r="Y658"/>
      <c r="Z658"/>
      <c r="AA658"/>
      <c r="AB658"/>
      <c r="AC658"/>
    </row>
    <row r="659" spans="1:29" s="49" customFormat="1" ht="21.75" thickBot="1" x14ac:dyDescent="0.4">
      <c r="A659" s="48"/>
      <c r="B659" s="48"/>
      <c r="D659" s="48"/>
      <c r="E659" s="48"/>
      <c r="H659" s="94"/>
      <c r="V659" s="76"/>
      <c r="W659" s="76"/>
      <c r="X659" s="76"/>
      <c r="Y659" s="76"/>
      <c r="Z659" s="76"/>
      <c r="AA659" s="76"/>
      <c r="AB659" s="76"/>
      <c r="AC659" s="76"/>
    </row>
    <row r="660" spans="1:29" s="47" customFormat="1" x14ac:dyDescent="0.35">
      <c r="A660" s="46" t="s">
        <v>932</v>
      </c>
      <c r="B660" s="46" t="s">
        <v>220</v>
      </c>
      <c r="C660" s="47">
        <v>5115</v>
      </c>
      <c r="D660" s="46" t="s">
        <v>933</v>
      </c>
      <c r="E660" s="46" t="s">
        <v>934</v>
      </c>
      <c r="F660" s="47" t="s">
        <v>935</v>
      </c>
      <c r="G660" s="47">
        <v>1</v>
      </c>
      <c r="H660" s="95">
        <v>46223</v>
      </c>
      <c r="V660"/>
      <c r="W660"/>
      <c r="X660"/>
      <c r="Y660"/>
      <c r="Z660"/>
      <c r="AA660"/>
      <c r="AB660"/>
      <c r="AC660"/>
    </row>
    <row r="661" spans="1:29" s="49" customFormat="1" ht="21.75" thickBot="1" x14ac:dyDescent="0.4">
      <c r="A661" s="48"/>
      <c r="B661" s="48"/>
      <c r="D661" s="48"/>
      <c r="E661" s="48"/>
      <c r="H661" s="94"/>
      <c r="V661" s="76"/>
      <c r="W661" s="76"/>
      <c r="X661" s="76"/>
      <c r="Y661" s="76"/>
      <c r="Z661" s="76"/>
      <c r="AA661" s="76"/>
      <c r="AB661" s="76"/>
      <c r="AC661" s="76"/>
    </row>
    <row r="662" spans="1:29" s="47" customFormat="1" x14ac:dyDescent="0.35">
      <c r="A662" s="46" t="s">
        <v>52</v>
      </c>
      <c r="B662" s="46" t="s">
        <v>53</v>
      </c>
      <c r="C662" s="53">
        <v>5116</v>
      </c>
      <c r="D662" s="46" t="s">
        <v>76</v>
      </c>
      <c r="E662" s="46" t="s">
        <v>150</v>
      </c>
      <c r="G662" s="47">
        <v>1</v>
      </c>
      <c r="H662" s="95">
        <v>46224</v>
      </c>
      <c r="J662" s="47">
        <v>0.25</v>
      </c>
      <c r="Q662" s="47">
        <v>0.25</v>
      </c>
      <c r="V662"/>
      <c r="W662"/>
      <c r="X662"/>
      <c r="Y662"/>
      <c r="Z662"/>
      <c r="AA662"/>
      <c r="AB662"/>
      <c r="AC662"/>
    </row>
    <row r="663" spans="1:29" s="17" customFormat="1" x14ac:dyDescent="0.35">
      <c r="A663" s="21"/>
      <c r="B663" s="21"/>
      <c r="D663" s="21" t="s">
        <v>80</v>
      </c>
      <c r="E663" s="21" t="s">
        <v>19</v>
      </c>
      <c r="F663" s="17" t="s">
        <v>939</v>
      </c>
      <c r="G663" s="17">
        <v>1</v>
      </c>
      <c r="H663" s="93"/>
      <c r="J663" s="17">
        <v>0.5</v>
      </c>
      <c r="Q663" s="17">
        <v>0.5</v>
      </c>
      <c r="V663"/>
      <c r="W663"/>
      <c r="X663"/>
      <c r="Y663"/>
      <c r="Z663"/>
      <c r="AA663"/>
      <c r="AB663"/>
      <c r="AC663"/>
    </row>
    <row r="664" spans="1:29" s="17" customFormat="1" x14ac:dyDescent="0.35">
      <c r="A664" s="21"/>
      <c r="B664" s="21"/>
      <c r="D664" s="21" t="s">
        <v>77</v>
      </c>
      <c r="E664" s="21" t="s">
        <v>20</v>
      </c>
      <c r="G664" s="17">
        <v>1</v>
      </c>
      <c r="H664" s="93"/>
      <c r="V664"/>
      <c r="W664"/>
      <c r="X664"/>
      <c r="Y664"/>
      <c r="Z664"/>
      <c r="AA664"/>
      <c r="AB664"/>
      <c r="AC664"/>
    </row>
    <row r="665" spans="1:29" s="17" customFormat="1" x14ac:dyDescent="0.35">
      <c r="A665" s="21"/>
      <c r="B665" s="21"/>
      <c r="D665" s="21" t="s">
        <v>93</v>
      </c>
      <c r="E665" s="21" t="s">
        <v>14</v>
      </c>
      <c r="G665" s="17">
        <v>1</v>
      </c>
      <c r="H665" s="93"/>
      <c r="J665" s="17">
        <v>0.5</v>
      </c>
      <c r="Q665" s="17">
        <v>0.5</v>
      </c>
      <c r="V665"/>
      <c r="W665"/>
      <c r="X665"/>
      <c r="Y665"/>
      <c r="Z665"/>
      <c r="AA665"/>
      <c r="AB665"/>
      <c r="AC665"/>
    </row>
    <row r="666" spans="1:29" s="17" customFormat="1" x14ac:dyDescent="0.35">
      <c r="A666" s="21"/>
      <c r="B666" s="21"/>
      <c r="D666" s="21" t="s">
        <v>129</v>
      </c>
      <c r="E666" s="21" t="s">
        <v>130</v>
      </c>
      <c r="G666" s="17">
        <v>1</v>
      </c>
      <c r="H666" s="93"/>
      <c r="J666" s="17">
        <v>0.5</v>
      </c>
      <c r="Q666" s="17">
        <v>0.5</v>
      </c>
      <c r="V666"/>
      <c r="W666"/>
      <c r="X666"/>
      <c r="Y666"/>
      <c r="Z666"/>
      <c r="AA666"/>
      <c r="AB666"/>
      <c r="AC666"/>
    </row>
    <row r="667" spans="1:29" s="17" customFormat="1" x14ac:dyDescent="0.35">
      <c r="A667" s="21"/>
      <c r="B667" s="21"/>
      <c r="D667" s="21" t="s">
        <v>87</v>
      </c>
      <c r="E667" s="21" t="s">
        <v>21</v>
      </c>
      <c r="G667" s="17">
        <v>1</v>
      </c>
      <c r="H667" s="93"/>
      <c r="J667" s="17">
        <v>0.5</v>
      </c>
      <c r="Q667" s="17">
        <v>0.5</v>
      </c>
      <c r="V667"/>
      <c r="W667"/>
      <c r="X667"/>
      <c r="Y667"/>
      <c r="Z667"/>
      <c r="AA667"/>
      <c r="AB667"/>
      <c r="AC667"/>
    </row>
    <row r="668" spans="1:29" s="17" customFormat="1" x14ac:dyDescent="0.35">
      <c r="A668" s="21"/>
      <c r="B668" s="21"/>
      <c r="D668" s="21" t="s">
        <v>79</v>
      </c>
      <c r="E668" s="21" t="s">
        <v>73</v>
      </c>
      <c r="G668" s="17">
        <v>1</v>
      </c>
      <c r="H668" s="93"/>
      <c r="J668" s="17">
        <v>0.5</v>
      </c>
      <c r="Q668" s="17">
        <v>0.5</v>
      </c>
      <c r="V668"/>
      <c r="W668"/>
      <c r="X668"/>
      <c r="Y668"/>
      <c r="Z668"/>
      <c r="AA668"/>
      <c r="AB668"/>
      <c r="AC668"/>
    </row>
    <row r="669" spans="1:29" s="17" customFormat="1" x14ac:dyDescent="0.35">
      <c r="A669" s="21"/>
      <c r="B669" s="21"/>
      <c r="D669" s="21" t="s">
        <v>75</v>
      </c>
      <c r="E669" s="21" t="s">
        <v>55</v>
      </c>
      <c r="G669" s="17">
        <v>1</v>
      </c>
      <c r="H669" s="93"/>
      <c r="J669" s="17">
        <v>0.5</v>
      </c>
      <c r="Q669" s="17">
        <v>0.5</v>
      </c>
      <c r="V669"/>
      <c r="W669"/>
      <c r="X669"/>
      <c r="Y669"/>
      <c r="Z669"/>
      <c r="AA669"/>
      <c r="AB669"/>
      <c r="AC669"/>
    </row>
    <row r="670" spans="1:29" s="17" customFormat="1" x14ac:dyDescent="0.35">
      <c r="A670" s="21"/>
      <c r="B670" s="21"/>
      <c r="D670" s="21" t="s">
        <v>107</v>
      </c>
      <c r="E670" s="21" t="s">
        <v>938</v>
      </c>
      <c r="G670" s="17">
        <v>1</v>
      </c>
      <c r="H670" s="93"/>
      <c r="J670" s="17">
        <v>0.5</v>
      </c>
      <c r="Q670" s="17">
        <v>0.5</v>
      </c>
      <c r="V670"/>
      <c r="W670"/>
      <c r="X670"/>
      <c r="Y670"/>
      <c r="Z670"/>
      <c r="AA670"/>
      <c r="AB670"/>
      <c r="AC670"/>
    </row>
    <row r="671" spans="1:29" s="17" customFormat="1" x14ac:dyDescent="0.35">
      <c r="A671" s="21"/>
      <c r="B671" s="21"/>
      <c r="D671" s="21" t="s">
        <v>94</v>
      </c>
      <c r="E671" s="21" t="s">
        <v>18</v>
      </c>
      <c r="G671" s="17">
        <v>24</v>
      </c>
      <c r="H671" s="93"/>
      <c r="V671"/>
      <c r="W671"/>
      <c r="X671"/>
      <c r="Y671"/>
      <c r="Z671"/>
      <c r="AA671"/>
      <c r="AB671"/>
      <c r="AC671"/>
    </row>
    <row r="672" spans="1:29" s="49" customFormat="1" ht="21.75" thickBot="1" x14ac:dyDescent="0.4">
      <c r="A672" s="48"/>
      <c r="B672" s="48"/>
      <c r="D672" s="48"/>
      <c r="E672" s="48"/>
      <c r="H672" s="94"/>
      <c r="V672" s="76"/>
      <c r="W672" s="76"/>
      <c r="X672" s="76"/>
      <c r="Y672" s="76"/>
      <c r="Z672" s="76"/>
      <c r="AA672" s="76"/>
      <c r="AB672" s="76"/>
      <c r="AC672" s="76"/>
    </row>
    <row r="673" spans="1:29" s="17" customFormat="1" x14ac:dyDescent="0.35">
      <c r="A673" s="21"/>
      <c r="B673" s="21"/>
      <c r="D673" s="21"/>
      <c r="E673" s="21"/>
      <c r="H673" s="93"/>
      <c r="V673"/>
      <c r="W673"/>
      <c r="X673"/>
      <c r="Y673"/>
      <c r="Z673"/>
      <c r="AA673"/>
      <c r="AB673"/>
      <c r="AC673"/>
    </row>
    <row r="674" spans="1:29" s="17" customFormat="1" x14ac:dyDescent="0.35">
      <c r="A674" s="21"/>
      <c r="B674" s="21"/>
      <c r="D674" s="21"/>
      <c r="E674" s="21"/>
      <c r="H674" s="93"/>
      <c r="V674"/>
      <c r="W674"/>
      <c r="X674"/>
      <c r="Y674"/>
      <c r="Z674"/>
      <c r="AA674"/>
      <c r="AB674"/>
      <c r="AC674"/>
    </row>
    <row r="675" spans="1:29" s="17" customFormat="1" x14ac:dyDescent="0.35">
      <c r="A675" s="21"/>
      <c r="B675" s="21"/>
      <c r="D675" s="21"/>
      <c r="E675" s="21"/>
      <c r="H675" s="93"/>
      <c r="V675"/>
      <c r="W675"/>
      <c r="X675"/>
      <c r="Y675"/>
      <c r="Z675"/>
      <c r="AA675"/>
      <c r="AB675"/>
      <c r="AC675"/>
    </row>
    <row r="676" spans="1:29" s="17" customFormat="1" x14ac:dyDescent="0.35">
      <c r="A676" s="21"/>
      <c r="B676" s="21"/>
      <c r="D676" s="21"/>
      <c r="E676" s="21"/>
      <c r="H676" s="93"/>
      <c r="V676"/>
      <c r="W676"/>
      <c r="X676"/>
      <c r="Y676"/>
      <c r="Z676"/>
      <c r="AA676"/>
      <c r="AB676"/>
      <c r="AC676"/>
    </row>
    <row r="677" spans="1:29" s="17" customFormat="1" x14ac:dyDescent="0.35">
      <c r="A677" s="21"/>
      <c r="B677" s="21"/>
      <c r="D677" s="21"/>
      <c r="E677" s="21"/>
      <c r="H677" s="93"/>
      <c r="V677"/>
      <c r="W677"/>
      <c r="X677"/>
      <c r="Y677"/>
      <c r="Z677"/>
      <c r="AA677"/>
      <c r="AB677"/>
      <c r="AC677"/>
    </row>
    <row r="678" spans="1:29" s="17" customFormat="1" x14ac:dyDescent="0.35">
      <c r="A678" s="21"/>
      <c r="B678" s="21"/>
      <c r="D678" s="21"/>
      <c r="E678" s="21"/>
      <c r="H678" s="93"/>
      <c r="V678"/>
      <c r="W678"/>
      <c r="X678"/>
      <c r="Y678"/>
      <c r="Z678"/>
      <c r="AA678"/>
      <c r="AB678"/>
      <c r="AC678"/>
    </row>
    <row r="679" spans="1:29" s="17" customFormat="1" x14ac:dyDescent="0.35">
      <c r="A679" s="21"/>
      <c r="B679" s="21"/>
      <c r="D679" s="21"/>
      <c r="E679" s="21"/>
      <c r="H679" s="93"/>
      <c r="V679"/>
      <c r="W679"/>
      <c r="X679"/>
      <c r="Y679"/>
      <c r="Z679"/>
      <c r="AA679"/>
      <c r="AB679"/>
      <c r="AC679"/>
    </row>
    <row r="680" spans="1:29" s="17" customFormat="1" x14ac:dyDescent="0.35">
      <c r="A680" s="21"/>
      <c r="B680" s="21"/>
      <c r="D680" s="21"/>
      <c r="E680" s="21"/>
      <c r="H680" s="93"/>
      <c r="V680"/>
      <c r="W680"/>
      <c r="X680"/>
      <c r="Y680"/>
      <c r="Z680"/>
      <c r="AA680"/>
      <c r="AB680"/>
      <c r="AC680"/>
    </row>
    <row r="681" spans="1:29" s="17" customFormat="1" x14ac:dyDescent="0.35">
      <c r="A681" s="21"/>
      <c r="B681" s="21"/>
      <c r="D681" s="21"/>
      <c r="E681" s="21"/>
      <c r="H681" s="93"/>
      <c r="V681"/>
      <c r="W681"/>
      <c r="X681"/>
      <c r="Y681"/>
      <c r="Z681"/>
      <c r="AA681"/>
      <c r="AB681"/>
      <c r="AC681"/>
    </row>
    <row r="682" spans="1:29" s="17" customFormat="1" x14ac:dyDescent="0.35">
      <c r="A682" s="21"/>
      <c r="B682" s="21"/>
      <c r="D682" s="21"/>
      <c r="E682" s="21"/>
      <c r="H682" s="93"/>
      <c r="V682"/>
      <c r="W682"/>
      <c r="X682"/>
      <c r="Y682"/>
      <c r="Z682"/>
      <c r="AA682"/>
      <c r="AB682"/>
      <c r="AC682"/>
    </row>
    <row r="683" spans="1:29" s="17" customFormat="1" x14ac:dyDescent="0.35">
      <c r="A683" s="21"/>
      <c r="B683" s="21"/>
      <c r="D683" s="21"/>
      <c r="E683" s="21"/>
      <c r="H683" s="93"/>
      <c r="V683"/>
      <c r="W683"/>
      <c r="X683"/>
      <c r="Y683"/>
      <c r="Z683"/>
      <c r="AA683"/>
      <c r="AB683"/>
      <c r="AC683"/>
    </row>
    <row r="684" spans="1:29" s="17" customFormat="1" x14ac:dyDescent="0.35">
      <c r="A684" s="21"/>
      <c r="B684" s="21"/>
      <c r="D684" s="21"/>
      <c r="E684" s="21"/>
      <c r="H684" s="93"/>
      <c r="V684"/>
      <c r="W684"/>
      <c r="X684"/>
      <c r="Y684"/>
      <c r="Z684"/>
      <c r="AA684"/>
      <c r="AB684"/>
      <c r="AC684"/>
    </row>
    <row r="685" spans="1:29" s="17" customFormat="1" x14ac:dyDescent="0.35">
      <c r="A685" s="21"/>
      <c r="B685" s="21"/>
      <c r="D685" s="21"/>
      <c r="E685" s="21"/>
      <c r="H685" s="93"/>
      <c r="V685"/>
      <c r="W685"/>
      <c r="X685"/>
      <c r="Y685"/>
      <c r="Z685"/>
      <c r="AA685"/>
      <c r="AB685"/>
      <c r="AC685"/>
    </row>
    <row r="686" spans="1:29" s="17" customFormat="1" x14ac:dyDescent="0.35">
      <c r="A686" s="21"/>
      <c r="B686" s="21"/>
      <c r="D686" s="21"/>
      <c r="E686" s="21"/>
      <c r="H686" s="93"/>
      <c r="V686"/>
      <c r="W686"/>
      <c r="X686"/>
      <c r="Y686"/>
      <c r="Z686"/>
      <c r="AA686"/>
      <c r="AB686"/>
      <c r="AC686"/>
    </row>
    <row r="687" spans="1:29" s="17" customFormat="1" x14ac:dyDescent="0.35">
      <c r="A687" s="21"/>
      <c r="B687" s="21"/>
      <c r="D687" s="21"/>
      <c r="E687" s="21"/>
      <c r="H687" s="93"/>
      <c r="V687"/>
      <c r="W687"/>
      <c r="X687"/>
      <c r="Y687"/>
      <c r="Z687"/>
      <c r="AA687"/>
      <c r="AB687"/>
      <c r="AC687"/>
    </row>
    <row r="688" spans="1:29" s="17" customFormat="1" x14ac:dyDescent="0.35">
      <c r="A688" s="21"/>
      <c r="B688" s="21"/>
      <c r="D688" s="21"/>
      <c r="E688" s="21"/>
      <c r="H688" s="93"/>
      <c r="V688"/>
      <c r="W688"/>
      <c r="X688"/>
      <c r="Y688"/>
      <c r="Z688"/>
      <c r="AA688"/>
      <c r="AB688"/>
      <c r="AC688"/>
    </row>
    <row r="689" spans="1:29" s="17" customFormat="1" x14ac:dyDescent="0.35">
      <c r="A689" s="21"/>
      <c r="B689" s="21"/>
      <c r="D689" s="21"/>
      <c r="E689" s="21"/>
      <c r="H689" s="93"/>
      <c r="V689"/>
      <c r="W689"/>
      <c r="X689"/>
      <c r="Y689"/>
      <c r="Z689"/>
      <c r="AA689"/>
      <c r="AB689"/>
      <c r="AC689"/>
    </row>
    <row r="690" spans="1:29" s="17" customFormat="1" x14ac:dyDescent="0.35">
      <c r="A690" s="21"/>
      <c r="B690" s="21"/>
      <c r="D690" s="21"/>
      <c r="E690" s="21"/>
      <c r="H690" s="93"/>
      <c r="V690"/>
      <c r="W690"/>
      <c r="X690"/>
      <c r="Y690"/>
      <c r="Z690"/>
      <c r="AA690"/>
      <c r="AB690"/>
      <c r="AC690"/>
    </row>
    <row r="691" spans="1:29" s="17" customFormat="1" x14ac:dyDescent="0.35">
      <c r="A691" s="21"/>
      <c r="B691" s="21"/>
      <c r="D691" s="21"/>
      <c r="E691" s="21"/>
      <c r="H691" s="93"/>
      <c r="V691"/>
      <c r="W691"/>
      <c r="X691"/>
      <c r="Y691"/>
      <c r="Z691"/>
      <c r="AA691"/>
      <c r="AB691"/>
      <c r="AC691"/>
    </row>
    <row r="692" spans="1:29" s="17" customFormat="1" x14ac:dyDescent="0.35">
      <c r="A692" s="21"/>
      <c r="B692" s="21"/>
      <c r="D692" s="21"/>
      <c r="E692" s="21"/>
      <c r="H692" s="93"/>
      <c r="V692"/>
      <c r="W692"/>
      <c r="X692"/>
      <c r="Y692"/>
      <c r="Z692"/>
      <c r="AA692"/>
      <c r="AB692"/>
      <c r="AC692"/>
    </row>
    <row r="693" spans="1:29" s="17" customFormat="1" x14ac:dyDescent="0.35">
      <c r="A693" s="21"/>
      <c r="B693" s="21"/>
      <c r="D693" s="21"/>
      <c r="E693" s="21"/>
      <c r="H693" s="93"/>
      <c r="V693"/>
      <c r="W693"/>
      <c r="X693"/>
      <c r="Y693"/>
      <c r="Z693"/>
      <c r="AA693"/>
      <c r="AB693"/>
      <c r="AC693"/>
    </row>
    <row r="694" spans="1:29" s="17" customFormat="1" x14ac:dyDescent="0.35">
      <c r="A694" s="21"/>
      <c r="B694" s="21"/>
      <c r="D694" s="21"/>
      <c r="E694" s="21"/>
      <c r="H694" s="93"/>
      <c r="V694"/>
      <c r="W694"/>
      <c r="X694"/>
      <c r="Y694"/>
      <c r="Z694"/>
      <c r="AA694"/>
      <c r="AB694"/>
      <c r="AC694"/>
    </row>
    <row r="695" spans="1:29" s="17" customFormat="1" x14ac:dyDescent="0.35">
      <c r="A695" s="21"/>
      <c r="B695" s="21"/>
      <c r="D695" s="21"/>
      <c r="E695" s="21"/>
      <c r="H695" s="93"/>
      <c r="V695"/>
      <c r="W695"/>
      <c r="X695"/>
      <c r="Y695"/>
      <c r="Z695"/>
      <c r="AA695"/>
      <c r="AB695"/>
      <c r="AC695"/>
    </row>
    <row r="696" spans="1:29" s="17" customFormat="1" x14ac:dyDescent="0.35">
      <c r="A696" s="21"/>
      <c r="B696" s="21"/>
      <c r="D696" s="21"/>
      <c r="E696" s="21"/>
      <c r="H696" s="93"/>
      <c r="V696"/>
      <c r="W696"/>
      <c r="X696"/>
      <c r="Y696"/>
      <c r="Z696"/>
      <c r="AA696"/>
      <c r="AB696"/>
      <c r="AC696"/>
    </row>
    <row r="697" spans="1:29" s="17" customFormat="1" x14ac:dyDescent="0.35">
      <c r="A697" s="21"/>
      <c r="B697" s="21"/>
      <c r="D697" s="21"/>
      <c r="E697" s="21"/>
      <c r="H697" s="93"/>
      <c r="V697"/>
      <c r="W697"/>
      <c r="X697"/>
      <c r="Y697"/>
      <c r="Z697"/>
      <c r="AA697"/>
      <c r="AB697"/>
      <c r="AC697"/>
    </row>
    <row r="698" spans="1:29" s="17" customFormat="1" x14ac:dyDescent="0.35">
      <c r="A698" s="21"/>
      <c r="B698" s="21"/>
      <c r="D698" s="21"/>
      <c r="E698" s="21"/>
      <c r="H698" s="93"/>
      <c r="V698"/>
      <c r="W698"/>
      <c r="X698"/>
      <c r="Y698"/>
      <c r="Z698"/>
      <c r="AA698"/>
      <c r="AB698"/>
      <c r="AC698"/>
    </row>
    <row r="699" spans="1:29" s="17" customFormat="1" x14ac:dyDescent="0.35">
      <c r="A699" s="21"/>
      <c r="B699" s="21"/>
      <c r="D699" s="21"/>
      <c r="E699" s="21"/>
      <c r="H699" s="93"/>
      <c r="V699"/>
      <c r="W699"/>
      <c r="X699"/>
      <c r="Y699"/>
      <c r="Z699"/>
      <c r="AA699"/>
      <c r="AB699"/>
      <c r="AC699"/>
    </row>
    <row r="700" spans="1:29" s="17" customFormat="1" x14ac:dyDescent="0.35">
      <c r="A700" s="21"/>
      <c r="B700" s="21"/>
      <c r="D700" s="21"/>
      <c r="E700" s="21"/>
      <c r="H700" s="93"/>
      <c r="V700"/>
      <c r="W700"/>
      <c r="X700"/>
      <c r="Y700"/>
      <c r="Z700"/>
      <c r="AA700"/>
      <c r="AB700"/>
      <c r="AC700"/>
    </row>
    <row r="701" spans="1:29" s="17" customFormat="1" x14ac:dyDescent="0.35">
      <c r="A701" s="21"/>
      <c r="B701" s="21"/>
      <c r="D701" s="21"/>
      <c r="E701" s="21"/>
      <c r="H701" s="93"/>
      <c r="V701"/>
      <c r="W701"/>
      <c r="X701"/>
      <c r="Y701"/>
      <c r="Z701"/>
      <c r="AA701"/>
      <c r="AB701"/>
      <c r="AC701"/>
    </row>
    <row r="702" spans="1:29" s="17" customFormat="1" x14ac:dyDescent="0.35">
      <c r="A702" s="21"/>
      <c r="B702" s="21"/>
      <c r="D702" s="21"/>
      <c r="E702" s="21"/>
      <c r="H702" s="93"/>
      <c r="V702"/>
      <c r="W702"/>
      <c r="X702"/>
      <c r="Y702"/>
      <c r="Z702"/>
      <c r="AA702"/>
      <c r="AB702"/>
      <c r="AC702"/>
    </row>
    <row r="703" spans="1:29" s="17" customFormat="1" x14ac:dyDescent="0.35">
      <c r="A703" s="21"/>
      <c r="B703" s="21"/>
      <c r="D703" s="21"/>
      <c r="E703" s="21"/>
      <c r="H703" s="93"/>
      <c r="V703"/>
      <c r="W703"/>
      <c r="X703"/>
      <c r="Y703"/>
      <c r="Z703"/>
      <c r="AA703"/>
      <c r="AB703"/>
      <c r="AC703"/>
    </row>
    <row r="704" spans="1:29" s="17" customFormat="1" x14ac:dyDescent="0.35">
      <c r="A704" s="21"/>
      <c r="B704" s="21"/>
      <c r="D704" s="21"/>
      <c r="E704" s="21"/>
      <c r="H704" s="93"/>
      <c r="V704"/>
      <c r="W704"/>
      <c r="X704"/>
      <c r="Y704"/>
      <c r="Z704"/>
      <c r="AA704"/>
      <c r="AB704"/>
      <c r="AC704"/>
    </row>
    <row r="705" spans="1:29" s="17" customFormat="1" x14ac:dyDescent="0.35">
      <c r="A705" s="21"/>
      <c r="B705" s="21"/>
      <c r="D705" s="21"/>
      <c r="E705" s="21"/>
      <c r="H705" s="93"/>
      <c r="V705"/>
      <c r="W705"/>
      <c r="X705"/>
      <c r="Y705"/>
      <c r="Z705"/>
      <c r="AA705"/>
      <c r="AB705"/>
      <c r="AC705"/>
    </row>
    <row r="706" spans="1:29" s="17" customFormat="1" x14ac:dyDescent="0.35">
      <c r="A706" s="21"/>
      <c r="B706" s="21"/>
      <c r="D706" s="21"/>
      <c r="E706" s="21"/>
      <c r="H706" s="93"/>
      <c r="V706"/>
      <c r="W706"/>
      <c r="X706"/>
      <c r="Y706"/>
      <c r="Z706"/>
      <c r="AA706"/>
      <c r="AB706"/>
      <c r="AC706"/>
    </row>
    <row r="707" spans="1:29" s="17" customFormat="1" x14ac:dyDescent="0.35">
      <c r="A707" s="21"/>
      <c r="B707" s="21"/>
      <c r="D707" s="21"/>
      <c r="E707" s="21"/>
      <c r="H707" s="93"/>
      <c r="V707"/>
      <c r="W707"/>
      <c r="X707"/>
      <c r="Y707"/>
      <c r="Z707"/>
      <c r="AA707"/>
      <c r="AB707"/>
      <c r="AC707"/>
    </row>
    <row r="708" spans="1:29" s="17" customFormat="1" x14ac:dyDescent="0.35">
      <c r="A708" s="21"/>
      <c r="B708" s="21"/>
      <c r="D708" s="21"/>
      <c r="E708" s="21"/>
      <c r="H708" s="93"/>
      <c r="V708"/>
      <c r="W708"/>
      <c r="X708"/>
      <c r="Y708"/>
      <c r="Z708"/>
      <c r="AA708"/>
      <c r="AB708"/>
      <c r="AC708"/>
    </row>
    <row r="709" spans="1:29" s="17" customFormat="1" x14ac:dyDescent="0.35">
      <c r="A709" s="21"/>
      <c r="B709" s="21"/>
      <c r="D709" s="21"/>
      <c r="E709" s="21"/>
      <c r="H709" s="93"/>
      <c r="V709"/>
      <c r="W709"/>
      <c r="X709"/>
      <c r="Y709"/>
      <c r="Z709"/>
      <c r="AA709"/>
      <c r="AB709"/>
      <c r="AC709"/>
    </row>
    <row r="710" spans="1:29" s="17" customFormat="1" x14ac:dyDescent="0.35">
      <c r="A710" s="21"/>
      <c r="B710" s="21"/>
      <c r="D710" s="21"/>
      <c r="E710" s="21"/>
      <c r="H710" s="93"/>
      <c r="V710"/>
      <c r="W710"/>
      <c r="X710"/>
      <c r="Y710"/>
      <c r="Z710"/>
      <c r="AA710"/>
      <c r="AB710"/>
      <c r="AC710"/>
    </row>
    <row r="711" spans="1:29" s="17" customFormat="1" x14ac:dyDescent="0.35">
      <c r="A711" s="21"/>
      <c r="B711" s="21"/>
      <c r="D711" s="21"/>
      <c r="E711" s="21"/>
      <c r="H711" s="93"/>
      <c r="V711"/>
      <c r="W711"/>
      <c r="X711"/>
      <c r="Y711"/>
      <c r="Z711"/>
      <c r="AA711"/>
      <c r="AB711"/>
      <c r="AC711"/>
    </row>
    <row r="712" spans="1:29" s="17" customFormat="1" x14ac:dyDescent="0.35">
      <c r="A712" s="21"/>
      <c r="B712" s="21"/>
      <c r="D712" s="21"/>
      <c r="E712" s="21"/>
      <c r="H712" s="93"/>
      <c r="V712"/>
      <c r="W712"/>
      <c r="X712"/>
      <c r="Y712"/>
      <c r="Z712"/>
      <c r="AA712"/>
      <c r="AB712"/>
      <c r="AC712"/>
    </row>
    <row r="713" spans="1:29" s="17" customFormat="1" x14ac:dyDescent="0.35">
      <c r="A713" s="21"/>
      <c r="B713" s="21"/>
      <c r="D713" s="21"/>
      <c r="E713" s="21"/>
      <c r="H713" s="93"/>
      <c r="V713"/>
      <c r="W713"/>
      <c r="X713"/>
      <c r="Y713"/>
      <c r="Z713"/>
      <c r="AA713"/>
      <c r="AB713"/>
      <c r="AC713"/>
    </row>
    <row r="714" spans="1:29" s="17" customFormat="1" x14ac:dyDescent="0.35">
      <c r="A714" s="21"/>
      <c r="B714" s="21"/>
      <c r="D714" s="21"/>
      <c r="E714" s="21"/>
      <c r="H714" s="93"/>
      <c r="V714"/>
      <c r="W714"/>
      <c r="X714"/>
      <c r="Y714"/>
      <c r="Z714"/>
      <c r="AA714"/>
      <c r="AB714"/>
      <c r="AC714"/>
    </row>
    <row r="715" spans="1:29" s="17" customFormat="1" x14ac:dyDescent="0.35">
      <c r="A715" s="21"/>
      <c r="B715" s="21"/>
      <c r="D715" s="21"/>
      <c r="E715" s="21"/>
      <c r="H715" s="93"/>
      <c r="V715"/>
      <c r="W715"/>
      <c r="X715"/>
      <c r="Y715"/>
      <c r="Z715"/>
      <c r="AA715"/>
      <c r="AB715"/>
      <c r="AC715"/>
    </row>
    <row r="716" spans="1:29" s="17" customFormat="1" x14ac:dyDescent="0.35">
      <c r="A716" s="21"/>
      <c r="B716" s="21"/>
      <c r="D716" s="21"/>
      <c r="E716" s="21"/>
      <c r="H716" s="93"/>
      <c r="V716"/>
      <c r="W716"/>
      <c r="X716"/>
      <c r="Y716"/>
      <c r="Z716"/>
      <c r="AA716"/>
      <c r="AB716"/>
      <c r="AC716"/>
    </row>
    <row r="717" spans="1:29" s="17" customFormat="1" x14ac:dyDescent="0.35">
      <c r="A717" s="21"/>
      <c r="B717" s="21"/>
      <c r="D717" s="21"/>
      <c r="E717" s="21"/>
      <c r="H717" s="93"/>
      <c r="V717"/>
      <c r="W717"/>
      <c r="X717"/>
      <c r="Y717"/>
      <c r="Z717"/>
      <c r="AA717"/>
      <c r="AB717"/>
      <c r="AC717"/>
    </row>
    <row r="718" spans="1:29" s="17" customFormat="1" x14ac:dyDescent="0.35">
      <c r="A718" s="21"/>
      <c r="B718" s="21"/>
      <c r="D718" s="21"/>
      <c r="E718" s="21"/>
      <c r="H718" s="93"/>
      <c r="V718"/>
      <c r="W718"/>
      <c r="X718"/>
      <c r="Y718"/>
      <c r="Z718"/>
      <c r="AA718"/>
      <c r="AB718"/>
      <c r="AC718"/>
    </row>
    <row r="719" spans="1:29" s="17" customFormat="1" x14ac:dyDescent="0.35">
      <c r="A719" s="21"/>
      <c r="B719" s="21"/>
      <c r="D719" s="21"/>
      <c r="E719" s="21"/>
      <c r="H719" s="93"/>
      <c r="V719"/>
      <c r="W719"/>
      <c r="X719"/>
      <c r="Y719"/>
      <c r="Z719"/>
      <c r="AA719"/>
      <c r="AB719"/>
      <c r="AC719"/>
    </row>
    <row r="720" spans="1:29" s="17" customFormat="1" x14ac:dyDescent="0.35">
      <c r="A720" s="21"/>
      <c r="B720" s="21"/>
      <c r="D720" s="21"/>
      <c r="E720" s="21"/>
      <c r="H720" s="93"/>
      <c r="V720"/>
      <c r="W720"/>
      <c r="X720"/>
      <c r="Y720"/>
      <c r="Z720"/>
      <c r="AA720"/>
      <c r="AB720"/>
      <c r="AC720"/>
    </row>
    <row r="721" spans="1:29" s="17" customFormat="1" x14ac:dyDescent="0.35">
      <c r="A721" s="21"/>
      <c r="B721" s="21"/>
      <c r="D721" s="21"/>
      <c r="E721" s="21"/>
      <c r="H721" s="93"/>
      <c r="V721"/>
      <c r="W721"/>
      <c r="X721"/>
      <c r="Y721"/>
      <c r="Z721"/>
      <c r="AA721"/>
      <c r="AB721"/>
      <c r="AC721"/>
    </row>
    <row r="722" spans="1:29" s="17" customFormat="1" x14ac:dyDescent="0.35">
      <c r="A722" s="21"/>
      <c r="B722" s="21"/>
      <c r="D722" s="21"/>
      <c r="E722" s="21"/>
      <c r="H722" s="93"/>
      <c r="V722"/>
      <c r="W722"/>
      <c r="X722"/>
      <c r="Y722"/>
      <c r="Z722"/>
      <c r="AA722"/>
      <c r="AB722"/>
      <c r="AC722"/>
    </row>
    <row r="723" spans="1:29" s="17" customFormat="1" x14ac:dyDescent="0.35">
      <c r="A723" s="21"/>
      <c r="B723" s="21"/>
      <c r="D723" s="21"/>
      <c r="E723" s="21"/>
      <c r="H723" s="93"/>
      <c r="V723"/>
      <c r="W723"/>
      <c r="X723"/>
      <c r="Y723"/>
      <c r="Z723"/>
      <c r="AA723"/>
      <c r="AB723"/>
      <c r="AC723"/>
    </row>
    <row r="724" spans="1:29" s="17" customFormat="1" x14ac:dyDescent="0.35">
      <c r="A724" s="21"/>
      <c r="B724" s="21"/>
      <c r="D724" s="21"/>
      <c r="E724" s="21"/>
      <c r="H724" s="93"/>
      <c r="V724"/>
      <c r="W724"/>
      <c r="X724"/>
      <c r="Y724"/>
      <c r="Z724"/>
      <c r="AA724"/>
      <c r="AB724"/>
      <c r="AC724"/>
    </row>
    <row r="725" spans="1:29" s="17" customFormat="1" x14ac:dyDescent="0.35">
      <c r="A725" s="21"/>
      <c r="B725" s="21"/>
      <c r="D725" s="21"/>
      <c r="E725" s="21"/>
      <c r="H725" s="93"/>
      <c r="V725"/>
      <c r="W725"/>
      <c r="X725"/>
      <c r="Y725"/>
      <c r="Z725"/>
      <c r="AA725"/>
      <c r="AB725"/>
      <c r="AC725"/>
    </row>
    <row r="726" spans="1:29" s="17" customFormat="1" x14ac:dyDescent="0.35">
      <c r="A726" s="21"/>
      <c r="B726" s="21"/>
      <c r="D726" s="21"/>
      <c r="E726" s="21"/>
      <c r="H726" s="93"/>
      <c r="V726"/>
      <c r="W726"/>
      <c r="X726"/>
      <c r="Y726"/>
      <c r="Z726"/>
      <c r="AA726"/>
      <c r="AB726"/>
      <c r="AC726"/>
    </row>
    <row r="727" spans="1:29" s="17" customFormat="1" x14ac:dyDescent="0.35">
      <c r="A727" s="21"/>
      <c r="B727" s="21"/>
      <c r="D727" s="21"/>
      <c r="E727" s="21"/>
      <c r="H727" s="93"/>
      <c r="V727"/>
      <c r="W727"/>
      <c r="X727"/>
      <c r="Y727"/>
      <c r="Z727"/>
      <c r="AA727"/>
      <c r="AB727"/>
      <c r="AC727"/>
    </row>
    <row r="728" spans="1:29" s="17" customFormat="1" x14ac:dyDescent="0.35">
      <c r="A728" s="21"/>
      <c r="B728" s="21"/>
      <c r="D728" s="21"/>
      <c r="E728" s="21"/>
      <c r="H728" s="93"/>
      <c r="V728"/>
      <c r="W728"/>
      <c r="X728"/>
      <c r="Y728"/>
      <c r="Z728"/>
      <c r="AA728"/>
      <c r="AB728"/>
      <c r="AC728"/>
    </row>
    <row r="729" spans="1:29" s="17" customFormat="1" x14ac:dyDescent="0.35">
      <c r="A729" s="21"/>
      <c r="B729" s="21"/>
      <c r="D729" s="21"/>
      <c r="E729" s="21"/>
      <c r="H729" s="93"/>
      <c r="V729"/>
      <c r="W729"/>
      <c r="X729"/>
      <c r="Y729"/>
      <c r="Z729"/>
      <c r="AA729"/>
      <c r="AB729"/>
      <c r="AC729"/>
    </row>
    <row r="730" spans="1:29" s="17" customFormat="1" x14ac:dyDescent="0.35">
      <c r="A730" s="21"/>
      <c r="B730" s="21"/>
      <c r="D730" s="21"/>
      <c r="E730" s="21"/>
      <c r="H730" s="93"/>
      <c r="V730"/>
      <c r="W730"/>
      <c r="X730"/>
      <c r="Y730"/>
      <c r="Z730"/>
      <c r="AA730"/>
      <c r="AB730"/>
      <c r="AC730"/>
    </row>
    <row r="731" spans="1:29" s="17" customFormat="1" x14ac:dyDescent="0.35">
      <c r="A731" s="21"/>
      <c r="B731" s="21"/>
      <c r="D731" s="21"/>
      <c r="E731" s="21"/>
      <c r="H731" s="93"/>
      <c r="V731"/>
      <c r="W731"/>
      <c r="X731"/>
      <c r="Y731"/>
      <c r="Z731"/>
      <c r="AA731"/>
      <c r="AB731"/>
      <c r="AC731"/>
    </row>
    <row r="732" spans="1:29" s="17" customFormat="1" x14ac:dyDescent="0.35">
      <c r="A732" s="21"/>
      <c r="B732" s="21"/>
      <c r="D732" s="21"/>
      <c r="E732" s="21"/>
      <c r="H732" s="93"/>
      <c r="V732"/>
      <c r="W732"/>
      <c r="X732"/>
      <c r="Y732"/>
      <c r="Z732"/>
      <c r="AA732"/>
      <c r="AB732"/>
      <c r="AC732"/>
    </row>
    <row r="733" spans="1:29" s="17" customFormat="1" x14ac:dyDescent="0.35">
      <c r="A733" s="21"/>
      <c r="B733" s="21"/>
      <c r="D733" s="21"/>
      <c r="E733" s="21"/>
      <c r="H733" s="93"/>
      <c r="V733"/>
      <c r="W733"/>
      <c r="X733"/>
      <c r="Y733"/>
      <c r="Z733"/>
      <c r="AA733"/>
      <c r="AB733"/>
      <c r="AC733"/>
    </row>
    <row r="734" spans="1:29" s="17" customFormat="1" x14ac:dyDescent="0.35">
      <c r="A734" s="21"/>
      <c r="B734" s="21"/>
      <c r="D734" s="21"/>
      <c r="E734" s="21"/>
      <c r="H734" s="93"/>
      <c r="V734"/>
      <c r="W734"/>
      <c r="X734"/>
      <c r="Y734"/>
      <c r="Z734"/>
      <c r="AA734"/>
      <c r="AB734"/>
      <c r="AC734"/>
    </row>
    <row r="735" spans="1:29" s="17" customFormat="1" x14ac:dyDescent="0.35">
      <c r="A735" s="21"/>
      <c r="B735" s="21"/>
      <c r="D735" s="21"/>
      <c r="E735" s="21"/>
      <c r="H735" s="93"/>
      <c r="V735"/>
      <c r="W735"/>
      <c r="X735"/>
      <c r="Y735"/>
      <c r="Z735"/>
      <c r="AA735"/>
      <c r="AB735"/>
      <c r="AC735"/>
    </row>
    <row r="736" spans="1:29" s="17" customFormat="1" x14ac:dyDescent="0.35">
      <c r="A736" s="21"/>
      <c r="B736" s="21"/>
      <c r="D736" s="21"/>
      <c r="E736" s="21"/>
      <c r="H736" s="93"/>
      <c r="V736"/>
      <c r="W736"/>
      <c r="X736"/>
      <c r="Y736"/>
      <c r="Z736"/>
      <c r="AA736"/>
      <c r="AB736"/>
      <c r="AC736"/>
    </row>
    <row r="737" spans="1:29" s="17" customFormat="1" x14ac:dyDescent="0.35">
      <c r="A737" s="21"/>
      <c r="B737" s="21"/>
      <c r="D737" s="21"/>
      <c r="E737" s="21"/>
      <c r="H737" s="93"/>
      <c r="V737"/>
      <c r="W737"/>
      <c r="X737"/>
      <c r="Y737"/>
      <c r="Z737"/>
      <c r="AA737"/>
      <c r="AB737"/>
      <c r="AC737"/>
    </row>
    <row r="738" spans="1:29" s="17" customFormat="1" x14ac:dyDescent="0.35">
      <c r="A738" s="21"/>
      <c r="B738" s="21"/>
      <c r="D738" s="21"/>
      <c r="E738" s="21"/>
      <c r="H738" s="93"/>
      <c r="V738"/>
      <c r="W738"/>
      <c r="X738"/>
      <c r="Y738"/>
      <c r="Z738"/>
      <c r="AA738"/>
      <c r="AB738"/>
      <c r="AC738"/>
    </row>
    <row r="739" spans="1:29" s="17" customFormat="1" x14ac:dyDescent="0.35">
      <c r="A739" s="21"/>
      <c r="B739" s="21"/>
      <c r="D739" s="21"/>
      <c r="E739" s="21"/>
      <c r="H739" s="93"/>
      <c r="V739"/>
      <c r="W739"/>
      <c r="X739"/>
      <c r="Y739"/>
      <c r="Z739"/>
      <c r="AA739"/>
      <c r="AB739"/>
      <c r="AC739"/>
    </row>
    <row r="740" spans="1:29" s="17" customFormat="1" x14ac:dyDescent="0.35">
      <c r="A740" s="21"/>
      <c r="B740" s="21"/>
      <c r="D740" s="21"/>
      <c r="E740" s="21"/>
      <c r="H740" s="93"/>
      <c r="V740"/>
      <c r="W740"/>
      <c r="X740"/>
      <c r="Y740"/>
      <c r="Z740"/>
      <c r="AA740"/>
      <c r="AB740"/>
      <c r="AC740"/>
    </row>
    <row r="741" spans="1:29" s="17" customFormat="1" x14ac:dyDescent="0.35">
      <c r="A741" s="21"/>
      <c r="B741" s="21"/>
      <c r="D741" s="21"/>
      <c r="E741" s="21"/>
      <c r="H741" s="93"/>
      <c r="V741"/>
      <c r="W741"/>
      <c r="X741"/>
      <c r="Y741"/>
      <c r="Z741"/>
      <c r="AA741"/>
      <c r="AB741"/>
      <c r="AC741"/>
    </row>
    <row r="742" spans="1:29" s="17" customFormat="1" x14ac:dyDescent="0.35">
      <c r="A742" s="21"/>
      <c r="B742" s="21"/>
      <c r="D742" s="21"/>
      <c r="E742" s="21"/>
      <c r="H742" s="93"/>
      <c r="V742"/>
      <c r="W742"/>
      <c r="X742"/>
      <c r="Y742"/>
      <c r="Z742"/>
      <c r="AA742"/>
      <c r="AB742"/>
      <c r="AC742"/>
    </row>
    <row r="743" spans="1:29" s="17" customFormat="1" x14ac:dyDescent="0.35">
      <c r="A743" s="21"/>
      <c r="B743" s="21"/>
      <c r="D743" s="21"/>
      <c r="E743" s="21"/>
      <c r="H743" s="93"/>
      <c r="V743"/>
      <c r="W743"/>
      <c r="X743"/>
      <c r="Y743"/>
      <c r="Z743"/>
      <c r="AA743"/>
      <c r="AB743"/>
      <c r="AC743"/>
    </row>
    <row r="744" spans="1:29" s="17" customFormat="1" x14ac:dyDescent="0.35">
      <c r="A744" s="21"/>
      <c r="B744" s="21"/>
      <c r="D744" s="21"/>
      <c r="E744" s="21"/>
      <c r="H744" s="93"/>
      <c r="V744"/>
      <c r="W744"/>
      <c r="X744"/>
      <c r="Y744"/>
      <c r="Z744"/>
      <c r="AA744"/>
      <c r="AB744"/>
      <c r="AC744"/>
    </row>
    <row r="745" spans="1:29" s="17" customFormat="1" x14ac:dyDescent="0.35">
      <c r="A745" s="21"/>
      <c r="B745" s="21"/>
      <c r="D745" s="21"/>
      <c r="E745" s="21"/>
      <c r="H745" s="93"/>
      <c r="V745"/>
      <c r="W745"/>
      <c r="X745"/>
      <c r="Y745"/>
      <c r="Z745"/>
      <c r="AA745"/>
      <c r="AB745"/>
      <c r="AC745"/>
    </row>
    <row r="746" spans="1:29" s="17" customFormat="1" x14ac:dyDescent="0.35">
      <c r="A746" s="21"/>
      <c r="B746" s="21"/>
      <c r="D746" s="21"/>
      <c r="E746" s="21"/>
      <c r="H746" s="93"/>
      <c r="V746"/>
      <c r="W746"/>
      <c r="X746"/>
      <c r="Y746"/>
      <c r="Z746"/>
      <c r="AA746"/>
      <c r="AB746"/>
      <c r="AC746"/>
    </row>
    <row r="747" spans="1:29" s="17" customFormat="1" x14ac:dyDescent="0.35">
      <c r="A747" s="21"/>
      <c r="B747" s="21"/>
      <c r="D747" s="21"/>
      <c r="E747" s="21"/>
      <c r="H747" s="93"/>
      <c r="V747"/>
      <c r="W747"/>
      <c r="X747"/>
      <c r="Y747"/>
      <c r="Z747"/>
      <c r="AA747"/>
      <c r="AB747"/>
      <c r="AC747"/>
    </row>
    <row r="748" spans="1:29" s="17" customFormat="1" x14ac:dyDescent="0.35">
      <c r="A748" s="21"/>
      <c r="B748" s="21"/>
      <c r="D748" s="21"/>
      <c r="E748" s="21"/>
      <c r="H748" s="93"/>
      <c r="V748"/>
      <c r="W748"/>
      <c r="X748"/>
      <c r="Y748"/>
      <c r="Z748"/>
      <c r="AA748"/>
      <c r="AB748"/>
      <c r="AC748"/>
    </row>
    <row r="749" spans="1:29" s="17" customFormat="1" x14ac:dyDescent="0.35">
      <c r="A749" s="21"/>
      <c r="B749" s="21"/>
      <c r="D749" s="21"/>
      <c r="E749" s="21"/>
      <c r="H749" s="93"/>
      <c r="V749"/>
      <c r="W749"/>
      <c r="X749"/>
      <c r="Y749"/>
      <c r="Z749"/>
      <c r="AA749"/>
      <c r="AB749"/>
      <c r="AC749"/>
    </row>
    <row r="750" spans="1:29" s="17" customFormat="1" x14ac:dyDescent="0.35">
      <c r="A750" s="21"/>
      <c r="B750" s="21"/>
      <c r="D750" s="21"/>
      <c r="E750" s="21"/>
      <c r="H750" s="93"/>
      <c r="V750"/>
      <c r="W750"/>
      <c r="X750"/>
      <c r="Y750"/>
      <c r="Z750"/>
      <c r="AA750"/>
      <c r="AB750"/>
      <c r="AC750"/>
    </row>
    <row r="751" spans="1:29" s="17" customFormat="1" x14ac:dyDescent="0.35">
      <c r="A751" s="21"/>
      <c r="B751" s="21"/>
      <c r="D751" s="21"/>
      <c r="E751" s="21"/>
      <c r="H751" s="93"/>
      <c r="V751"/>
      <c r="W751"/>
      <c r="X751"/>
      <c r="Y751"/>
      <c r="Z751"/>
      <c r="AA751"/>
      <c r="AB751"/>
      <c r="AC751"/>
    </row>
    <row r="752" spans="1:29" s="17" customFormat="1" x14ac:dyDescent="0.35">
      <c r="A752" s="21"/>
      <c r="B752" s="21"/>
      <c r="D752" s="21"/>
      <c r="E752" s="21"/>
      <c r="H752" s="93"/>
      <c r="V752"/>
      <c r="W752"/>
      <c r="X752"/>
      <c r="Y752"/>
      <c r="Z752"/>
      <c r="AA752"/>
      <c r="AB752"/>
      <c r="AC752"/>
    </row>
    <row r="753" spans="1:29" s="17" customFormat="1" x14ac:dyDescent="0.35">
      <c r="A753" s="21"/>
      <c r="B753" s="21"/>
      <c r="D753" s="21"/>
      <c r="E753" s="21"/>
      <c r="H753" s="93"/>
      <c r="V753"/>
      <c r="W753"/>
      <c r="X753"/>
      <c r="Y753"/>
      <c r="Z753"/>
      <c r="AA753"/>
      <c r="AB753"/>
      <c r="AC753"/>
    </row>
    <row r="754" spans="1:29" s="17" customFormat="1" x14ac:dyDescent="0.35">
      <c r="A754" s="21"/>
      <c r="B754" s="21"/>
      <c r="D754" s="21"/>
      <c r="E754" s="21"/>
      <c r="H754" s="93"/>
      <c r="V754"/>
      <c r="W754"/>
      <c r="X754"/>
      <c r="Y754"/>
      <c r="Z754"/>
      <c r="AA754"/>
      <c r="AB754"/>
      <c r="AC754"/>
    </row>
    <row r="755" spans="1:29" s="17" customFormat="1" x14ac:dyDescent="0.35">
      <c r="A755" s="21"/>
      <c r="B755" s="21"/>
      <c r="D755" s="21"/>
      <c r="E755" s="21"/>
      <c r="H755" s="93"/>
      <c r="V755"/>
      <c r="W755"/>
      <c r="X755"/>
      <c r="Y755"/>
      <c r="Z755"/>
      <c r="AA755"/>
      <c r="AB755"/>
      <c r="AC755"/>
    </row>
    <row r="756" spans="1:29" s="17" customFormat="1" x14ac:dyDescent="0.35">
      <c r="A756" s="21"/>
      <c r="B756" s="21"/>
      <c r="D756" s="21"/>
      <c r="E756" s="21"/>
      <c r="H756" s="93"/>
      <c r="V756"/>
      <c r="W756"/>
      <c r="X756"/>
      <c r="Y756"/>
      <c r="Z756"/>
      <c r="AA756"/>
      <c r="AB756"/>
      <c r="AC756"/>
    </row>
    <row r="757" spans="1:29" s="17" customFormat="1" x14ac:dyDescent="0.35">
      <c r="A757" s="21"/>
      <c r="B757" s="21"/>
      <c r="D757" s="21"/>
      <c r="E757" s="21"/>
      <c r="H757" s="93"/>
      <c r="V757"/>
      <c r="W757"/>
      <c r="X757"/>
      <c r="Y757"/>
      <c r="Z757"/>
      <c r="AA757"/>
      <c r="AB757"/>
      <c r="AC757"/>
    </row>
    <row r="758" spans="1:29" s="17" customFormat="1" x14ac:dyDescent="0.35">
      <c r="A758" s="21"/>
      <c r="B758" s="21"/>
      <c r="D758" s="21"/>
      <c r="E758" s="21"/>
      <c r="H758" s="93"/>
      <c r="V758"/>
      <c r="W758"/>
      <c r="X758"/>
      <c r="Y758"/>
      <c r="Z758"/>
      <c r="AA758"/>
      <c r="AB758"/>
      <c r="AC758"/>
    </row>
    <row r="759" spans="1:29" s="17" customFormat="1" x14ac:dyDescent="0.35">
      <c r="A759" s="21"/>
      <c r="B759" s="21"/>
      <c r="D759" s="21"/>
      <c r="E759" s="21"/>
      <c r="H759" s="93"/>
      <c r="V759"/>
      <c r="W759"/>
      <c r="X759"/>
      <c r="Y759"/>
      <c r="Z759"/>
      <c r="AA759"/>
      <c r="AB759"/>
      <c r="AC759"/>
    </row>
    <row r="760" spans="1:29" s="17" customFormat="1" x14ac:dyDescent="0.35">
      <c r="A760" s="21"/>
      <c r="B760" s="21"/>
      <c r="D760" s="21"/>
      <c r="E760" s="21"/>
      <c r="H760" s="93"/>
      <c r="V760"/>
      <c r="W760"/>
      <c r="X760"/>
      <c r="Y760"/>
      <c r="Z760"/>
      <c r="AA760"/>
      <c r="AB760"/>
      <c r="AC760"/>
    </row>
    <row r="761" spans="1:29" s="17" customFormat="1" x14ac:dyDescent="0.35">
      <c r="A761" s="21"/>
      <c r="B761" s="21"/>
      <c r="D761" s="21"/>
      <c r="E761" s="21"/>
      <c r="H761" s="93"/>
      <c r="V761"/>
      <c r="W761"/>
      <c r="X761"/>
      <c r="Y761"/>
      <c r="Z761"/>
      <c r="AA761"/>
      <c r="AB761"/>
      <c r="AC761"/>
    </row>
    <row r="762" spans="1:29" s="17" customFormat="1" x14ac:dyDescent="0.35">
      <c r="A762" s="21"/>
      <c r="B762" s="21"/>
      <c r="D762" s="21"/>
      <c r="E762" s="21"/>
      <c r="H762" s="93"/>
      <c r="V762"/>
      <c r="W762"/>
      <c r="X762"/>
      <c r="Y762"/>
      <c r="Z762"/>
      <c r="AA762"/>
      <c r="AB762"/>
      <c r="AC762"/>
    </row>
    <row r="763" spans="1:29" s="17" customFormat="1" x14ac:dyDescent="0.35">
      <c r="A763" s="21"/>
      <c r="B763" s="21"/>
      <c r="D763" s="21"/>
      <c r="E763" s="21"/>
      <c r="H763" s="93"/>
      <c r="V763"/>
      <c r="W763"/>
      <c r="X763"/>
      <c r="Y763"/>
      <c r="Z763"/>
      <c r="AA763"/>
      <c r="AB763"/>
      <c r="AC763"/>
    </row>
    <row r="764" spans="1:29" s="17" customFormat="1" x14ac:dyDescent="0.35">
      <c r="A764" s="21"/>
      <c r="B764" s="21"/>
      <c r="D764" s="21"/>
      <c r="E764" s="21"/>
      <c r="H764" s="93"/>
      <c r="V764"/>
      <c r="W764"/>
      <c r="X764"/>
      <c r="Y764"/>
      <c r="Z764"/>
      <c r="AA764"/>
      <c r="AB764"/>
      <c r="AC764"/>
    </row>
    <row r="765" spans="1:29" s="17" customFormat="1" x14ac:dyDescent="0.35">
      <c r="A765" s="21"/>
      <c r="B765" s="21"/>
      <c r="D765" s="21"/>
      <c r="E765" s="21"/>
      <c r="H765" s="93"/>
      <c r="V765"/>
      <c r="W765"/>
      <c r="X765"/>
      <c r="Y765"/>
      <c r="Z765"/>
      <c r="AA765"/>
      <c r="AB765"/>
      <c r="AC765"/>
    </row>
    <row r="766" spans="1:29" s="17" customFormat="1" x14ac:dyDescent="0.35">
      <c r="A766" s="21"/>
      <c r="B766" s="21"/>
      <c r="D766" s="21"/>
      <c r="E766" s="21"/>
      <c r="H766" s="93"/>
      <c r="V766"/>
      <c r="W766"/>
      <c r="X766"/>
      <c r="Y766"/>
      <c r="Z766"/>
      <c r="AA766"/>
      <c r="AB766"/>
      <c r="AC766"/>
    </row>
    <row r="767" spans="1:29" s="17" customFormat="1" x14ac:dyDescent="0.35">
      <c r="A767" s="21"/>
      <c r="B767" s="21"/>
      <c r="D767" s="21"/>
      <c r="E767" s="21"/>
      <c r="H767" s="93"/>
      <c r="V767"/>
      <c r="W767"/>
      <c r="X767"/>
      <c r="Y767"/>
      <c r="Z767"/>
      <c r="AA767"/>
      <c r="AB767"/>
      <c r="AC767"/>
    </row>
    <row r="768" spans="1:29" s="17" customFormat="1" x14ac:dyDescent="0.35">
      <c r="A768" s="21"/>
      <c r="B768" s="21"/>
      <c r="D768" s="21"/>
      <c r="E768" s="21"/>
      <c r="H768" s="93"/>
      <c r="V768"/>
      <c r="W768"/>
      <c r="X768"/>
      <c r="Y768"/>
      <c r="Z768"/>
      <c r="AA768"/>
      <c r="AB768"/>
      <c r="AC768"/>
    </row>
    <row r="769" spans="1:29" s="17" customFormat="1" x14ac:dyDescent="0.35">
      <c r="A769" s="21"/>
      <c r="B769" s="21"/>
      <c r="D769" s="21"/>
      <c r="E769" s="21"/>
      <c r="H769" s="93"/>
      <c r="V769"/>
      <c r="W769"/>
      <c r="X769"/>
      <c r="Y769"/>
      <c r="Z769"/>
      <c r="AA769"/>
      <c r="AB769"/>
      <c r="AC769"/>
    </row>
    <row r="770" spans="1:29" s="17" customFormat="1" x14ac:dyDescent="0.35">
      <c r="A770" s="21"/>
      <c r="B770" s="21"/>
      <c r="D770" s="21"/>
      <c r="E770" s="21"/>
      <c r="H770" s="93"/>
      <c r="V770"/>
      <c r="W770"/>
      <c r="X770"/>
      <c r="Y770"/>
      <c r="Z770"/>
      <c r="AA770"/>
      <c r="AB770"/>
      <c r="AC770"/>
    </row>
    <row r="771" spans="1:29" s="17" customFormat="1" x14ac:dyDescent="0.35">
      <c r="A771" s="21"/>
      <c r="B771" s="21"/>
      <c r="D771" s="21"/>
      <c r="E771" s="21"/>
      <c r="H771" s="93"/>
      <c r="V771"/>
      <c r="W771"/>
      <c r="X771"/>
      <c r="Y771"/>
      <c r="Z771"/>
      <c r="AA771"/>
      <c r="AB771"/>
      <c r="AC771"/>
    </row>
    <row r="772" spans="1:29" s="17" customFormat="1" x14ac:dyDescent="0.35">
      <c r="A772" s="21"/>
      <c r="B772" s="21"/>
      <c r="D772" s="21"/>
      <c r="E772" s="21"/>
      <c r="H772" s="93"/>
      <c r="V772"/>
      <c r="W772"/>
      <c r="X772"/>
      <c r="Y772"/>
      <c r="Z772"/>
      <c r="AA772"/>
      <c r="AB772"/>
      <c r="AC772"/>
    </row>
    <row r="773" spans="1:29" s="17" customFormat="1" x14ac:dyDescent="0.35">
      <c r="A773" s="21"/>
      <c r="B773" s="21"/>
      <c r="D773" s="21"/>
      <c r="E773" s="21"/>
      <c r="H773" s="93"/>
      <c r="V773"/>
      <c r="W773"/>
      <c r="X773"/>
      <c r="Y773"/>
      <c r="Z773"/>
      <c r="AA773"/>
      <c r="AB773"/>
      <c r="AC773"/>
    </row>
    <row r="774" spans="1:29" s="17" customFormat="1" x14ac:dyDescent="0.35">
      <c r="A774" s="21"/>
      <c r="B774" s="21"/>
      <c r="D774" s="21"/>
      <c r="E774" s="21"/>
      <c r="H774" s="93"/>
      <c r="V774"/>
      <c r="W774"/>
      <c r="X774"/>
      <c r="Y774"/>
      <c r="Z774"/>
      <c r="AA774"/>
      <c r="AB774"/>
      <c r="AC774"/>
    </row>
    <row r="775" spans="1:29" s="17" customFormat="1" x14ac:dyDescent="0.35">
      <c r="A775" s="21"/>
      <c r="B775" s="21"/>
      <c r="D775" s="21"/>
      <c r="E775" s="21"/>
      <c r="H775" s="93"/>
      <c r="V775"/>
      <c r="W775"/>
      <c r="X775"/>
      <c r="Y775"/>
      <c r="Z775"/>
      <c r="AA775"/>
      <c r="AB775"/>
      <c r="AC775"/>
    </row>
    <row r="776" spans="1:29" s="17" customFormat="1" x14ac:dyDescent="0.35">
      <c r="A776" s="21"/>
      <c r="B776" s="21"/>
      <c r="D776" s="21"/>
      <c r="E776" s="21"/>
      <c r="H776" s="93"/>
      <c r="V776"/>
      <c r="W776"/>
      <c r="X776"/>
      <c r="Y776"/>
      <c r="Z776"/>
      <c r="AA776"/>
      <c r="AB776"/>
      <c r="AC776"/>
    </row>
    <row r="777" spans="1:29" s="17" customFormat="1" x14ac:dyDescent="0.35">
      <c r="A777" s="21"/>
      <c r="B777" s="21"/>
      <c r="D777" s="21"/>
      <c r="E777" s="21"/>
      <c r="H777" s="93"/>
      <c r="V777"/>
      <c r="W777"/>
      <c r="X777"/>
      <c r="Y777"/>
      <c r="Z777"/>
      <c r="AA777"/>
      <c r="AB777"/>
      <c r="AC777"/>
    </row>
    <row r="778" spans="1:29" s="17" customFormat="1" x14ac:dyDescent="0.35">
      <c r="A778" s="21"/>
      <c r="B778" s="21"/>
      <c r="D778" s="21"/>
      <c r="E778" s="21"/>
      <c r="H778" s="93"/>
      <c r="V778"/>
      <c r="W778"/>
      <c r="X778"/>
      <c r="Y778"/>
      <c r="Z778"/>
      <c r="AA778"/>
      <c r="AB778"/>
      <c r="AC778"/>
    </row>
    <row r="779" spans="1:29" s="17" customFormat="1" x14ac:dyDescent="0.35">
      <c r="A779" s="21"/>
      <c r="B779" s="21"/>
      <c r="D779" s="21"/>
      <c r="E779" s="21"/>
      <c r="H779" s="93"/>
      <c r="V779"/>
      <c r="W779"/>
      <c r="X779"/>
      <c r="Y779"/>
      <c r="Z779"/>
      <c r="AA779"/>
      <c r="AB779"/>
      <c r="AC779"/>
    </row>
    <row r="780" spans="1:29" s="17" customFormat="1" x14ac:dyDescent="0.35">
      <c r="A780" s="21"/>
      <c r="B780" s="21"/>
      <c r="D780" s="21"/>
      <c r="E780" s="21"/>
      <c r="H780" s="93"/>
      <c r="V780"/>
      <c r="W780"/>
      <c r="X780"/>
      <c r="Y780"/>
      <c r="Z780"/>
      <c r="AA780"/>
      <c r="AB780"/>
      <c r="AC780"/>
    </row>
    <row r="781" spans="1:29" s="17" customFormat="1" x14ac:dyDescent="0.35">
      <c r="A781" s="21"/>
      <c r="B781" s="21"/>
      <c r="D781" s="21"/>
      <c r="E781" s="21"/>
      <c r="H781" s="93"/>
      <c r="V781"/>
      <c r="W781"/>
      <c r="X781"/>
      <c r="Y781"/>
      <c r="Z781"/>
      <c r="AA781"/>
      <c r="AB781"/>
      <c r="AC781"/>
    </row>
    <row r="782" spans="1:29" s="17" customFormat="1" x14ac:dyDescent="0.35">
      <c r="A782" s="21"/>
      <c r="B782" s="21"/>
      <c r="D782" s="21"/>
      <c r="E782" s="21"/>
      <c r="H782" s="93"/>
      <c r="V782"/>
      <c r="W782"/>
      <c r="X782"/>
      <c r="Y782"/>
      <c r="Z782"/>
      <c r="AA782"/>
      <c r="AB782"/>
      <c r="AC782"/>
    </row>
    <row r="783" spans="1:29" s="17" customFormat="1" x14ac:dyDescent="0.35">
      <c r="A783" s="21"/>
      <c r="B783" s="21"/>
      <c r="D783" s="21"/>
      <c r="E783" s="21"/>
      <c r="H783" s="93"/>
      <c r="V783"/>
      <c r="W783"/>
      <c r="X783"/>
      <c r="Y783"/>
      <c r="Z783"/>
      <c r="AA783"/>
      <c r="AB783"/>
      <c r="AC783"/>
    </row>
    <row r="784" spans="1:29" s="17" customFormat="1" x14ac:dyDescent="0.35">
      <c r="A784" s="21"/>
      <c r="B784" s="21"/>
      <c r="D784" s="21"/>
      <c r="E784" s="21"/>
      <c r="H784" s="93"/>
      <c r="V784"/>
      <c r="W784"/>
      <c r="X784"/>
      <c r="Y784"/>
      <c r="Z784"/>
      <c r="AA784"/>
      <c r="AB784"/>
      <c r="AC784"/>
    </row>
    <row r="785" spans="1:29" s="17" customFormat="1" x14ac:dyDescent="0.35">
      <c r="A785" s="21"/>
      <c r="B785" s="21"/>
      <c r="D785" s="21"/>
      <c r="E785" s="21"/>
      <c r="H785" s="93"/>
      <c r="V785"/>
      <c r="W785"/>
      <c r="X785"/>
      <c r="Y785"/>
      <c r="Z785"/>
      <c r="AA785"/>
      <c r="AB785"/>
      <c r="AC785"/>
    </row>
    <row r="786" spans="1:29" s="17" customFormat="1" x14ac:dyDescent="0.35">
      <c r="A786" s="21"/>
      <c r="B786" s="21"/>
      <c r="D786" s="21"/>
      <c r="E786" s="21"/>
      <c r="H786" s="93"/>
      <c r="V786"/>
      <c r="W786"/>
      <c r="X786"/>
      <c r="Y786"/>
      <c r="Z786"/>
      <c r="AA786"/>
      <c r="AB786"/>
      <c r="AC786"/>
    </row>
    <row r="787" spans="1:29" s="17" customFormat="1" x14ac:dyDescent="0.35">
      <c r="A787" s="21"/>
      <c r="B787" s="21"/>
      <c r="D787" s="21"/>
      <c r="E787" s="21"/>
      <c r="H787" s="93"/>
      <c r="V787"/>
      <c r="W787"/>
      <c r="X787"/>
      <c r="Y787"/>
      <c r="Z787"/>
      <c r="AA787"/>
      <c r="AB787"/>
      <c r="AC787"/>
    </row>
    <row r="788" spans="1:29" s="17" customFormat="1" x14ac:dyDescent="0.35">
      <c r="A788" s="21"/>
      <c r="B788" s="21"/>
      <c r="D788" s="21"/>
      <c r="E788" s="21"/>
      <c r="H788" s="93"/>
      <c r="V788"/>
      <c r="W788"/>
      <c r="X788"/>
      <c r="Y788"/>
      <c r="Z788"/>
      <c r="AA788"/>
      <c r="AB788"/>
      <c r="AC788"/>
    </row>
    <row r="789" spans="1:29" s="17" customFormat="1" x14ac:dyDescent="0.35">
      <c r="A789" s="21"/>
      <c r="B789" s="21"/>
      <c r="D789" s="21"/>
      <c r="E789" s="21"/>
      <c r="H789" s="93"/>
      <c r="V789"/>
      <c r="W789"/>
      <c r="X789"/>
      <c r="Y789"/>
      <c r="Z789"/>
      <c r="AA789"/>
      <c r="AB789"/>
      <c r="AC789"/>
    </row>
    <row r="790" spans="1:29" s="17" customFormat="1" x14ac:dyDescent="0.35">
      <c r="A790" s="21"/>
      <c r="B790" s="21"/>
      <c r="D790" s="21"/>
      <c r="E790" s="21"/>
      <c r="H790" s="93"/>
      <c r="V790"/>
      <c r="W790"/>
      <c r="X790"/>
      <c r="Y790"/>
      <c r="Z790"/>
      <c r="AA790"/>
      <c r="AB790"/>
      <c r="AC790"/>
    </row>
    <row r="791" spans="1:29" s="17" customFormat="1" x14ac:dyDescent="0.35">
      <c r="A791" s="21"/>
      <c r="B791" s="21"/>
      <c r="D791" s="21"/>
      <c r="E791" s="21"/>
      <c r="H791" s="93"/>
      <c r="V791"/>
      <c r="W791"/>
      <c r="X791"/>
      <c r="Y791"/>
      <c r="Z791"/>
      <c r="AA791"/>
      <c r="AB791"/>
      <c r="AC791"/>
    </row>
    <row r="792" spans="1:29" s="17" customFormat="1" x14ac:dyDescent="0.35">
      <c r="A792" s="21"/>
      <c r="B792" s="21"/>
      <c r="D792" s="21"/>
      <c r="E792" s="21"/>
      <c r="H792" s="93"/>
      <c r="V792"/>
      <c r="W792"/>
      <c r="X792"/>
      <c r="Y792"/>
      <c r="Z792"/>
      <c r="AA792"/>
      <c r="AB792"/>
      <c r="AC792"/>
    </row>
    <row r="793" spans="1:29" s="17" customFormat="1" x14ac:dyDescent="0.35">
      <c r="A793" s="21"/>
      <c r="B793" s="21"/>
      <c r="D793" s="21"/>
      <c r="E793" s="21"/>
      <c r="H793" s="93"/>
      <c r="V793"/>
      <c r="W793"/>
      <c r="X793"/>
      <c r="Y793"/>
      <c r="Z793"/>
      <c r="AA793"/>
      <c r="AB793"/>
      <c r="AC793"/>
    </row>
    <row r="794" spans="1:29" s="17" customFormat="1" x14ac:dyDescent="0.35">
      <c r="A794" s="21"/>
      <c r="B794" s="21"/>
      <c r="D794" s="21"/>
      <c r="E794" s="21"/>
      <c r="H794" s="93"/>
      <c r="V794"/>
      <c r="W794"/>
      <c r="X794"/>
      <c r="Y794"/>
      <c r="Z794"/>
      <c r="AA794"/>
      <c r="AB794"/>
      <c r="AC794"/>
    </row>
    <row r="795" spans="1:29" s="17" customFormat="1" x14ac:dyDescent="0.35">
      <c r="A795" s="21"/>
      <c r="B795" s="21"/>
      <c r="D795" s="21"/>
      <c r="E795" s="21"/>
      <c r="H795" s="93"/>
      <c r="V795"/>
      <c r="W795"/>
      <c r="X795"/>
      <c r="Y795"/>
      <c r="Z795"/>
      <c r="AA795"/>
      <c r="AB795"/>
      <c r="AC795"/>
    </row>
    <row r="796" spans="1:29" s="17" customFormat="1" x14ac:dyDescent="0.35">
      <c r="A796" s="21"/>
      <c r="B796" s="21"/>
      <c r="D796" s="21"/>
      <c r="E796" s="21"/>
      <c r="H796" s="93"/>
      <c r="V796"/>
      <c r="W796"/>
      <c r="X796"/>
      <c r="Y796"/>
      <c r="Z796"/>
      <c r="AA796"/>
      <c r="AB796"/>
      <c r="AC796"/>
    </row>
  </sheetData>
  <conditionalFormatting sqref="A10:E11 A117:H133 A134:C134 G134:H134 A135:H205 A461:H461 A462:E480 G462:H480 A481:H481 A482:E484 G482:H484 A485:H485 A486:E486 G486:H486 A487:H487 A488:E488 G488:H488 A489:H489 A490:E492 G490:H492 A493:H493 A494:E521 G494:H521 A522:H522 A523:E523 G523:H523 A524:H524 A525:E526 G525:H526 A527:H527 A528:E536 G528:H536 A537:H537 A538:E547 G538:H547 A548:H548 A549:E562 G549:H562 A563:H563 A564:E574 G564:H574 A575:H575 A576:E585 G576:H585 A586:H586 A587:E598 G587:H598 A599:H599 A600:E611 G600:H611 A612:H612 A613:E615 G613:H615 A616:H616 A617:E629 G617:H629 A630:H630 A631:E643 G631:H643 C644:H644 A645:E645 G645:H645 A646:H646 A647:E658 G647:H658 A659:H659 A660:E660 G660:H660">
    <cfRule type="expression" dxfId="36" priority="24">
      <formula>ROW()=CELL("FILA")</formula>
    </cfRule>
  </conditionalFormatting>
  <conditionalFormatting sqref="A1:H1 G6:H8 G10:H11 A6:E8">
    <cfRule type="expression" dxfId="35" priority="79">
      <formula>ROW()=CELL("FILA")</formula>
    </cfRule>
  </conditionalFormatting>
  <conditionalFormatting sqref="A5:H5">
    <cfRule type="expression" dxfId="34" priority="72">
      <formula>ROW()=CELL("FILA")</formula>
    </cfRule>
  </conditionalFormatting>
  <conditionalFormatting sqref="A9:H9">
    <cfRule type="expression" dxfId="33" priority="66">
      <formula>ROW()=CELL("FILA")</formula>
    </cfRule>
  </conditionalFormatting>
  <conditionalFormatting sqref="A12:H40">
    <cfRule type="expression" dxfId="32" priority="3">
      <formula>ROW()=CELL("FILA")</formula>
    </cfRule>
  </conditionalFormatting>
  <conditionalFormatting sqref="A53:H55">
    <cfRule type="expression" dxfId="31" priority="67">
      <formula>ROW()=CELL("FILA")</formula>
    </cfRule>
  </conditionalFormatting>
  <conditionalFormatting sqref="A285:H285">
    <cfRule type="expression" dxfId="30" priority="5">
      <formula>ROW()=CELL("FILA")</formula>
    </cfRule>
  </conditionalFormatting>
  <conditionalFormatting sqref="A661:H1048576">
    <cfRule type="expression" dxfId="29" priority="17">
      <formula>ROW()=CELL("FILA")</formula>
    </cfRule>
  </conditionalFormatting>
  <conditionalFormatting sqref="F1:F2 G6:G8 G10:G11 G41:G49 F51 G56:G58 F59 G60:G62 F63 G64:G75 F76 G77:G80 F81 G82 F83 F110 G111:G116 G206 F207 G208:G212 F213 G214:G215 F216 G217:G227 F228 G229 F230 G231:G232 F233 G234:G235 F236 G237:G244 F245 G246:G247 F248 G249 F250 G251:G262 F263 G264:G271 F272 G273:G275 F276 G277:G284 G286:G297 F298 G299:G306 F307 G308 F309 G310:G312 F313 G314:G315 F316 G317:G323 F324 G325:G326 F327 G328:G334 F335 G336:G342 F343 G344:G354 F355 G356:G365 F366 G367:G374 F375 G376 G378:G380 F381 G382 F383 G384:G385 F386 G387:G393 F394 G395:G403 F404 G405:G413 F414 G415:G424 F425 G426 F427 G428:G455 F456 G457 F458 G459:G460 F461 G462:G480 F481 G482:G484 F485 G486 F487 G488 F489 G490:G492 F493 G494:G517 G519:G521 F522 F524 G525:G526 F527 G528:G536 F537 G538:G547 F548 G549:G562 F563 G564:G574 F575 G576:G585 F586 G587:G598 F599 G600:G611 F612 G613 G615 F616 G617:G629 F630 G631:G643 F644 G645 F646 G647:G658 F659 G660">
    <cfRule type="containsText" dxfId="28" priority="78" operator="containsText" text="SIN ASIGNAR">
      <formula>NOT(ISERROR(SEARCH("SIN ASIGNAR",F1)))</formula>
    </cfRule>
  </conditionalFormatting>
  <conditionalFormatting sqref="F1:F2 G41:G49 F51 G56:G58 F59 G60:G62 F63 G64:G75 F76 G77:G80 F81 G82 F83 F110 G111:G116 G206 F207 G208:G212 F213 G214:G215 F216 G217:G227 F228 G229 F230 G231:G232 F233 G234:G235 F236 G237:G244 F245 G246:G247 F248 G249 F250 G251:G262 F263 G264:G271 F272 G273:G275 F276 G277:G284 G286:G297 F298 G299:G306 F307 G308 F309 G310:G312 F313 G314:G315 F316 G317:G323 F324 G325:G326 F327 G328:G334 F335 G336:G342 F343 G344:G354 F355 G356:G365 F366 G367:G374 F375 G376 G378:G380 F381 G382 F383 G384:G385 F386 G387:G393 F394 G395:G403 F404 G405:G413 F414 G415:G424 F425 G426 F427 G428:G455 F456 G457 F458 G459:G460 F461 G462:G480 F481 G482:G484 F485 G486 F487 G488 F489 G490:G492 F493 G494:G517 G519:G521 F522 F524 G525:G526 F527 G528:G536 F537 G538:G547 F548 G549:G562 F563 G564:G574 F575 G576:G585 F586 G587:G598 F599 G600:G611 F612 G613 G615 F616 G617:G629 F630 G631:G643 F644 G645 F646 G647:G658 F659 G660 G6:G8 G10:G11">
    <cfRule type="containsText" dxfId="27" priority="77" operator="containsText" text="VENTA POR MANO">
      <formula>NOT(ISERROR(SEARCH("VENTA POR MANO",F1)))</formula>
    </cfRule>
  </conditionalFormatting>
  <conditionalFormatting sqref="F2">
    <cfRule type="containsText" dxfId="26" priority="80" operator="containsText" text="GUILLERMO">
      <formula>NOT(ISERROR(SEARCH("GUILLERMO",F2)))</formula>
    </cfRule>
  </conditionalFormatting>
  <conditionalFormatting sqref="F2:F3">
    <cfRule type="containsText" dxfId="25" priority="16" operator="containsText" text="SIN ASIGNAR">
      <formula>NOT(ISERROR(SEARCH("SIN ASIGNAR",F2)))</formula>
    </cfRule>
  </conditionalFormatting>
  <conditionalFormatting sqref="F3">
    <cfRule type="expression" dxfId="24" priority="14">
      <formula>ROW()=CELL("FILA")</formula>
    </cfRule>
    <cfRule type="containsText" dxfId="23" priority="15" operator="containsText" text="VENTA POR MANO">
      <formula>NOT(ISERROR(SEARCH("VENTA POR MANO",F3)))</formula>
    </cfRule>
  </conditionalFormatting>
  <conditionalFormatting sqref="F5 F117:F133 F135:F205">
    <cfRule type="containsText" dxfId="22" priority="71" operator="containsText" text="SIN ASIGNAR">
      <formula>NOT(ISERROR(SEARCH("SIN ASIGNAR",F5)))</formula>
    </cfRule>
  </conditionalFormatting>
  <conditionalFormatting sqref="F7">
    <cfRule type="expression" dxfId="21" priority="8">
      <formula>ROW()=CELL("FILA")</formula>
    </cfRule>
    <cfRule type="containsText" dxfId="20" priority="9" operator="containsText" text="VENTA POR MANO">
      <formula>NOT(ISERROR(SEARCH("VENTA POR MANO",F7)))</formula>
    </cfRule>
    <cfRule type="containsText" dxfId="19" priority="10" operator="containsText" text="SIN ASIGNAR">
      <formula>NOT(ISERROR(SEARCH("SIN ASIGNAR",F7)))</formula>
    </cfRule>
  </conditionalFormatting>
  <conditionalFormatting sqref="F9">
    <cfRule type="containsText" dxfId="18" priority="64" operator="containsText" text="VENTA POR MANO">
      <formula>NOT(ISERROR(SEARCH("VENTA POR MANO",F9)))</formula>
    </cfRule>
    <cfRule type="containsText" dxfId="17" priority="65" operator="containsText" text="SIN ASIGNAR">
      <formula>NOT(ISERROR(SEARCH("SIN ASIGNAR",F9)))</formula>
    </cfRule>
  </conditionalFormatting>
  <conditionalFormatting sqref="F11">
    <cfRule type="expression" dxfId="16" priority="20">
      <formula>ROW()=CELL("FILA")</formula>
    </cfRule>
    <cfRule type="containsText" dxfId="15" priority="21" operator="containsText" text="VENTA POR MANO">
      <formula>NOT(ISERROR(SEARCH("VENTA POR MANO",F11)))</formula>
    </cfRule>
    <cfRule type="containsText" dxfId="14" priority="22" operator="containsText" text="SIN ASIGNAR">
      <formula>NOT(ISERROR(SEARCH("SIN ASIGNAR",F11)))</formula>
    </cfRule>
  </conditionalFormatting>
  <conditionalFormatting sqref="F12">
    <cfRule type="containsText" dxfId="13" priority="1" operator="containsText" text="VENTA POR MANO">
      <formula>NOT(ISERROR(SEARCH("VENTA POR MANO",F12)))</formula>
    </cfRule>
    <cfRule type="containsText" dxfId="12" priority="2" operator="containsText" text="SIN ASIGNAR">
      <formula>NOT(ISERROR(SEARCH("SIN ASIGNAR",F12)))</formula>
    </cfRule>
  </conditionalFormatting>
  <conditionalFormatting sqref="F13:F40">
    <cfRule type="containsText" dxfId="11" priority="12" operator="containsText" text="VENTA POR MANO">
      <formula>NOT(ISERROR(SEARCH("VENTA POR MANO",F13)))</formula>
    </cfRule>
    <cfRule type="containsText" dxfId="10" priority="13" operator="containsText" text="SIN ASIGNAR">
      <formula>NOT(ISERROR(SEARCH("SIN ASIGNAR",F13)))</formula>
    </cfRule>
  </conditionalFormatting>
  <conditionalFormatting sqref="F53:F55">
    <cfRule type="containsText" dxfId="9" priority="68" operator="containsText" text="VENTA POR MANO">
      <formula>NOT(ISERROR(SEARCH("VENTA POR MANO",F53)))</formula>
    </cfRule>
    <cfRule type="containsText" dxfId="8" priority="69" operator="containsText" text="SIN ASIGNAR">
      <formula>NOT(ISERROR(SEARCH("SIN ASIGNAR",F53)))</formula>
    </cfRule>
  </conditionalFormatting>
  <conditionalFormatting sqref="F117:F133 F135:F205 F5">
    <cfRule type="containsText" dxfId="7" priority="70" operator="containsText" text="VENTA POR MANO">
      <formula>NOT(ISERROR(SEARCH("VENTA POR MANO",F5)))</formula>
    </cfRule>
  </conditionalFormatting>
  <conditionalFormatting sqref="F285">
    <cfRule type="containsText" dxfId="6" priority="6" operator="containsText" text="VENTA POR MANO">
      <formula>NOT(ISERROR(SEARCH("VENTA POR MANO",F285)))</formula>
    </cfRule>
    <cfRule type="containsText" dxfId="5" priority="7" operator="containsText" text="SIN ASIGNAR">
      <formula>NOT(ISERROR(SEARCH("SIN ASIGNAR",F285)))</formula>
    </cfRule>
  </conditionalFormatting>
  <conditionalFormatting sqref="F661:F1048576">
    <cfRule type="containsText" dxfId="4" priority="18" operator="containsText" text="VENTA POR MANO">
      <formula>NOT(ISERROR(SEARCH("VENTA POR MANO",F661)))</formula>
    </cfRule>
    <cfRule type="containsText" dxfId="3" priority="19" operator="containsText" text="SIN ASIGNAR">
      <formula>NOT(ISERROR(SEARCH("SIN ASIGNAR",F661)))</formula>
    </cfRule>
  </conditionalFormatting>
  <conditionalFormatting sqref="I1:AC1 F2 A2:E4 G2:H4 A41:E50 G41:H50 A51:H51 A52:E52 G52:H52 A56:E58 G56:H58 A59:H59 A60:E62 G60:H62 A63:H63 A64:E75 G64:H75 A76:H76 A77:E80 G77:H80 A81:H81 A82:E82 G82:H82 A83:H83 A84:E109 G84:H109 A110:H110 A111:E116 G111:H116 A206:E206 G206:H206 A207:H207 A208:E212 G208:H212 A213:H213 A214:E215 G214:H215 A216:H216 A217:E227 G217:H227 A228:H228 A229:E229 G229:H229 A230:H230 A231:E232 G231:H232 A233:H233 A234:E235 G234:H235 A236:H236 A237:E244 G237:H244 A245:H245 A246:E247 G246:H247 A248:H248 A249:E249 G249:H249 A250:H250 A251:E262 G251:H262 A263:H263 A264:E271 G264:H271 A272:H272 A273:E275 G273:H275 A276:H276 A277:E284 G277:H284 A286:E297 G286:H297 A298:H298 A299:E306 G299:H306 A307:H307 A308:E308 G308:H308 A309:H309 A310:E312 G310:H312 A313:H313 A314:E315 G314:H315 A316:H316 A317:E323 G317:H323 A324:H324 A325:E326 G325:H326 A327:H327 A328:E334 G328:H334 A335:H335 A336:E342 G336:H342 A343:H343 A344:E354 G344:H354 A355:H355 A356:E365 G356:H365 A366:H366 A367:E374 G367:H374 A375:H375 A376:E380 G376:H380 A381:H381 A382:E382 G382:H382 A383:H383 A384:E385 G384:H385 A386:H386 A387:E393 G387:H393 A394:H394 A395:E403 G395:H403 A404:H404 A405:E413 G405:H413 A414:H414 A415:E424 G415:H424 A425:H425 A426:E426 G426:H426 A427:H427 A428:E455 G428:H455 A456:H456 A457:E457 G457:H457 A458:H458 A459:E460 G459:H460">
    <cfRule type="expression" dxfId="2" priority="76">
      <formula>ROW()=CELL("FILA")</formula>
    </cfRule>
  </conditionalFormatting>
  <conditionalFormatting sqref="N1 W1">
    <cfRule type="containsText" dxfId="1" priority="73" operator="containsText" text="VENTA POR MANO">
      <formula>NOT(ISERROR(SEARCH("VENTA POR MANO",N1)))</formula>
    </cfRule>
    <cfRule type="containsText" dxfId="0" priority="74" operator="containsText" text="SIN ASIGNAR">
      <formula>NOT(ISERROR(SEARCH("SIN ASIGNAR",N1)))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2:E34"/>
  <sheetViews>
    <sheetView workbookViewId="0">
      <selection activeCell="C30" sqref="C30:C31"/>
    </sheetView>
  </sheetViews>
  <sheetFormatPr baseColWidth="10" defaultRowHeight="15.75" x14ac:dyDescent="0.25"/>
  <cols>
    <col min="1" max="1" width="11.42578125" style="1"/>
    <col min="2" max="2" width="26.140625" style="1" bestFit="1" customWidth="1"/>
    <col min="3" max="3" width="11.42578125" style="1"/>
    <col min="4" max="5" width="14.85546875" style="1" customWidth="1"/>
    <col min="6" max="16384" width="11.42578125" style="1"/>
  </cols>
  <sheetData>
    <row r="2" spans="1:5" x14ac:dyDescent="0.25">
      <c r="D2" s="1">
        <v>16</v>
      </c>
      <c r="E2" s="1">
        <v>2</v>
      </c>
    </row>
    <row r="3" spans="1:5" s="2" customFormat="1" x14ac:dyDescent="0.25">
      <c r="C3" s="14" t="s">
        <v>30</v>
      </c>
      <c r="D3" s="14" t="s">
        <v>31</v>
      </c>
      <c r="E3" s="14" t="s">
        <v>32</v>
      </c>
    </row>
    <row r="4" spans="1:5" s="11" customFormat="1" x14ac:dyDescent="0.25">
      <c r="B4" s="11" t="s">
        <v>33</v>
      </c>
      <c r="C4" s="9">
        <v>1.5</v>
      </c>
      <c r="D4" s="9">
        <f>C4*$D$2</f>
        <v>24</v>
      </c>
      <c r="E4" s="15">
        <f>D4/$E$2</f>
        <v>12</v>
      </c>
    </row>
    <row r="5" spans="1:5" s="12" customFormat="1" ht="47.25" x14ac:dyDescent="0.25">
      <c r="B5" s="13" t="s">
        <v>64</v>
      </c>
      <c r="C5" s="10">
        <v>1</v>
      </c>
      <c r="D5" s="9">
        <f>C5*$D$2</f>
        <v>16</v>
      </c>
      <c r="E5" s="15">
        <f>D5/$E$2</f>
        <v>8</v>
      </c>
    </row>
    <row r="6" spans="1:5" s="11" customFormat="1" x14ac:dyDescent="0.25">
      <c r="B6" s="11" t="s">
        <v>34</v>
      </c>
      <c r="C6" s="9">
        <v>1</v>
      </c>
      <c r="D6" s="9">
        <f>C6*$D$2</f>
        <v>16</v>
      </c>
      <c r="E6" s="15">
        <f t="shared" ref="E6:E7" si="0">D6/$E$2</f>
        <v>8</v>
      </c>
    </row>
    <row r="7" spans="1:5" s="11" customFormat="1" x14ac:dyDescent="0.25">
      <c r="B7" s="11" t="s">
        <v>35</v>
      </c>
      <c r="C7" s="9">
        <v>1.5</v>
      </c>
      <c r="D7" s="9">
        <f>C7*$D$2</f>
        <v>24</v>
      </c>
      <c r="E7" s="15">
        <f t="shared" si="0"/>
        <v>12</v>
      </c>
    </row>
    <row r="8" spans="1:5" s="11" customFormat="1" x14ac:dyDescent="0.25">
      <c r="B8" s="11" t="s">
        <v>48</v>
      </c>
      <c r="C8" s="9">
        <v>2</v>
      </c>
      <c r="D8" s="9"/>
      <c r="E8" s="15">
        <f>E6*2</f>
        <v>16</v>
      </c>
    </row>
    <row r="9" spans="1:5" s="11" customFormat="1" x14ac:dyDescent="0.25">
      <c r="C9" s="9"/>
      <c r="D9" s="9"/>
      <c r="E9" s="15"/>
    </row>
    <row r="10" spans="1:5" s="11" customFormat="1" x14ac:dyDescent="0.25">
      <c r="B10" s="116" t="s">
        <v>65</v>
      </c>
      <c r="C10" s="116"/>
      <c r="D10" s="116"/>
      <c r="E10" s="15"/>
    </row>
    <row r="11" spans="1:5" s="11" customFormat="1" x14ac:dyDescent="0.25">
      <c r="C11" s="9"/>
      <c r="D11" s="9"/>
      <c r="E11" s="15"/>
    </row>
    <row r="12" spans="1:5" ht="63" x14ac:dyDescent="0.25">
      <c r="A12" s="3"/>
      <c r="B12" s="7" t="s">
        <v>62</v>
      </c>
      <c r="C12" s="7" t="s">
        <v>63</v>
      </c>
      <c r="D12" s="8" t="s">
        <v>61</v>
      </c>
    </row>
    <row r="13" spans="1:5" x14ac:dyDescent="0.25">
      <c r="A13" s="3"/>
      <c r="B13" s="1" t="s">
        <v>35</v>
      </c>
      <c r="C13" s="3">
        <v>1.5</v>
      </c>
      <c r="D13" s="3">
        <v>1.5</v>
      </c>
    </row>
    <row r="14" spans="1:5" x14ac:dyDescent="0.25">
      <c r="A14" s="3"/>
      <c r="B14" s="1" t="s">
        <v>36</v>
      </c>
      <c r="C14" s="3">
        <v>0.5</v>
      </c>
      <c r="D14" s="3">
        <v>1</v>
      </c>
    </row>
    <row r="15" spans="1:5" x14ac:dyDescent="0.25">
      <c r="A15" s="3"/>
      <c r="B15" s="1" t="s">
        <v>37</v>
      </c>
      <c r="C15" s="3">
        <v>0.5</v>
      </c>
      <c r="D15" s="3">
        <v>1</v>
      </c>
    </row>
    <row r="16" spans="1:5" x14ac:dyDescent="0.25">
      <c r="A16" s="3"/>
      <c r="B16" s="1" t="s">
        <v>38</v>
      </c>
      <c r="C16" s="3">
        <v>0.5</v>
      </c>
      <c r="D16" s="3">
        <v>1</v>
      </c>
    </row>
    <row r="17" spans="1:4" x14ac:dyDescent="0.25">
      <c r="A17" s="3"/>
      <c r="B17" s="1" t="s">
        <v>56</v>
      </c>
      <c r="C17" s="3">
        <v>1</v>
      </c>
      <c r="D17" s="3">
        <v>1</v>
      </c>
    </row>
    <row r="18" spans="1:4" x14ac:dyDescent="0.25">
      <c r="A18" s="3"/>
      <c r="B18" s="4" t="s">
        <v>39</v>
      </c>
      <c r="C18" s="5">
        <v>1</v>
      </c>
      <c r="D18" s="3">
        <v>1</v>
      </c>
    </row>
    <row r="19" spans="1:4" x14ac:dyDescent="0.25">
      <c r="A19" s="3"/>
      <c r="B19" s="1" t="s">
        <v>40</v>
      </c>
      <c r="C19" s="3">
        <v>1</v>
      </c>
      <c r="D19" s="3">
        <v>1</v>
      </c>
    </row>
    <row r="20" spans="1:4" x14ac:dyDescent="0.25">
      <c r="A20" s="3"/>
      <c r="B20" s="4" t="s">
        <v>41</v>
      </c>
      <c r="C20" s="5">
        <v>1</v>
      </c>
      <c r="D20" s="3">
        <v>1</v>
      </c>
    </row>
    <row r="21" spans="1:4" x14ac:dyDescent="0.25">
      <c r="A21" s="3"/>
      <c r="B21" s="1" t="s">
        <v>42</v>
      </c>
      <c r="C21" s="3">
        <v>1</v>
      </c>
      <c r="D21" s="3">
        <v>1</v>
      </c>
    </row>
    <row r="22" spans="1:4" x14ac:dyDescent="0.25">
      <c r="A22" s="3"/>
      <c r="B22" s="1" t="s">
        <v>43</v>
      </c>
      <c r="C22" s="3">
        <v>1</v>
      </c>
      <c r="D22" s="3">
        <v>1</v>
      </c>
    </row>
    <row r="23" spans="1:4" x14ac:dyDescent="0.25">
      <c r="A23" s="3"/>
      <c r="B23" s="1" t="s">
        <v>44</v>
      </c>
      <c r="C23" s="3">
        <v>1</v>
      </c>
      <c r="D23" s="3">
        <v>1</v>
      </c>
    </row>
    <row r="24" spans="1:4" x14ac:dyDescent="0.25">
      <c r="A24" s="3"/>
      <c r="B24" s="1" t="s">
        <v>54</v>
      </c>
      <c r="C24" s="3">
        <v>1</v>
      </c>
      <c r="D24" s="3">
        <v>1</v>
      </c>
    </row>
    <row r="25" spans="1:4" x14ac:dyDescent="0.25">
      <c r="B25" s="1" t="s">
        <v>58</v>
      </c>
      <c r="C25" s="3">
        <v>1</v>
      </c>
      <c r="D25" s="3">
        <v>1</v>
      </c>
    </row>
    <row r="26" spans="1:4" x14ac:dyDescent="0.25">
      <c r="A26" s="3"/>
      <c r="B26" s="1" t="s">
        <v>59</v>
      </c>
      <c r="C26" s="3">
        <v>1</v>
      </c>
      <c r="D26" s="3">
        <v>1</v>
      </c>
    </row>
    <row r="27" spans="1:4" x14ac:dyDescent="0.25">
      <c r="A27" s="3"/>
      <c r="B27" s="1" t="s">
        <v>66</v>
      </c>
      <c r="C27" s="3">
        <v>20</v>
      </c>
      <c r="D27" s="3">
        <v>20</v>
      </c>
    </row>
    <row r="28" spans="1:4" x14ac:dyDescent="0.25">
      <c r="A28" s="3"/>
      <c r="B28" s="1" t="s">
        <v>172</v>
      </c>
      <c r="C28" s="3">
        <v>20</v>
      </c>
      <c r="D28" s="3">
        <v>20</v>
      </c>
    </row>
    <row r="29" spans="1:4" x14ac:dyDescent="0.25">
      <c r="A29" s="3"/>
    </row>
    <row r="30" spans="1:4" x14ac:dyDescent="0.25">
      <c r="A30" s="3"/>
      <c r="B30" s="1" t="s">
        <v>49</v>
      </c>
      <c r="C30" s="3">
        <v>2</v>
      </c>
    </row>
    <row r="31" spans="1:4" x14ac:dyDescent="0.25">
      <c r="A31" s="3"/>
      <c r="B31" s="4" t="s">
        <v>45</v>
      </c>
      <c r="C31" s="5">
        <v>4</v>
      </c>
    </row>
    <row r="32" spans="1:4" x14ac:dyDescent="0.25">
      <c r="A32" s="3"/>
      <c r="B32" s="1" t="s">
        <v>46</v>
      </c>
      <c r="C32" s="3">
        <v>5</v>
      </c>
    </row>
    <row r="33" spans="1:4" x14ac:dyDescent="0.25">
      <c r="A33" s="3"/>
      <c r="B33" s="1" t="s">
        <v>47</v>
      </c>
      <c r="C33" s="3">
        <v>40</v>
      </c>
    </row>
    <row r="34" spans="1:4" x14ac:dyDescent="0.25">
      <c r="A34" s="3"/>
      <c r="B34" s="5"/>
      <c r="C34" s="6"/>
      <c r="D34" s="3"/>
    </row>
  </sheetData>
  <mergeCells count="1">
    <mergeCell ref="B10:D10"/>
  </mergeCells>
  <printOptions horizontalCentered="1"/>
  <pageMargins left="0.70866141732283472" right="0.70866141732283472" top="0.74803149606299213" bottom="0.74803149606299213" header="0.31496062992125984" footer="0.31496062992125984"/>
  <pageSetup scale="125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2:J45"/>
  <sheetViews>
    <sheetView topLeftCell="B1" workbookViewId="0">
      <selection activeCell="J7" sqref="J7"/>
    </sheetView>
  </sheetViews>
  <sheetFormatPr baseColWidth="10" defaultRowHeight="15.75" x14ac:dyDescent="0.25"/>
  <cols>
    <col min="1" max="1" width="22.28515625" style="4" bestFit="1" customWidth="1"/>
    <col min="2" max="2" width="46.85546875" style="1" bestFit="1" customWidth="1"/>
    <col min="3" max="3" width="17.28515625" style="1" bestFit="1" customWidth="1"/>
    <col min="4" max="4" width="33" style="1" bestFit="1" customWidth="1"/>
    <col min="5" max="6" width="11.42578125" style="1"/>
    <col min="7" max="7" width="23.42578125" style="1" customWidth="1"/>
    <col min="8" max="8" width="11.42578125" style="1"/>
    <col min="9" max="9" width="16.85546875" style="1" customWidth="1"/>
    <col min="10" max="10" width="13.5703125" style="1" customWidth="1"/>
    <col min="11" max="16384" width="11.42578125" style="1"/>
  </cols>
  <sheetData>
    <row r="2" spans="1:10" s="4" customFormat="1" ht="16.5" thickBot="1" x14ac:dyDescent="0.3">
      <c r="B2" s="3" t="s">
        <v>62</v>
      </c>
      <c r="C2" s="14" t="s">
        <v>178</v>
      </c>
      <c r="D2" s="14" t="s">
        <v>179</v>
      </c>
      <c r="E2" s="14" t="s">
        <v>145</v>
      </c>
    </row>
    <row r="3" spans="1:10" x14ac:dyDescent="0.25">
      <c r="A3" s="4" t="s">
        <v>185</v>
      </c>
      <c r="B3" s="24" t="s">
        <v>188</v>
      </c>
      <c r="C3" s="25">
        <v>2</v>
      </c>
      <c r="D3" s="26">
        <v>2</v>
      </c>
      <c r="E3" s="27">
        <v>2</v>
      </c>
    </row>
    <row r="4" spans="1:10" x14ac:dyDescent="0.25">
      <c r="B4" s="28" t="s">
        <v>189</v>
      </c>
      <c r="C4" s="9">
        <v>1</v>
      </c>
      <c r="D4" s="15">
        <v>1</v>
      </c>
      <c r="E4" s="29">
        <v>1</v>
      </c>
    </row>
    <row r="5" spans="1:10" x14ac:dyDescent="0.25">
      <c r="B5" s="28" t="s">
        <v>186</v>
      </c>
      <c r="C5" s="9">
        <v>0.5</v>
      </c>
      <c r="D5" s="15">
        <v>1</v>
      </c>
      <c r="E5" s="29">
        <v>0.5</v>
      </c>
    </row>
    <row r="6" spans="1:10" x14ac:dyDescent="0.25">
      <c r="B6" s="28" t="s">
        <v>187</v>
      </c>
      <c r="C6" s="9">
        <v>1</v>
      </c>
      <c r="D6" s="15">
        <v>1</v>
      </c>
      <c r="E6" s="29">
        <v>1</v>
      </c>
    </row>
    <row r="7" spans="1:10" x14ac:dyDescent="0.25">
      <c r="B7" s="34" t="s">
        <v>190</v>
      </c>
      <c r="C7" s="3">
        <v>1</v>
      </c>
      <c r="D7" s="1">
        <v>1</v>
      </c>
      <c r="E7" s="29">
        <v>1</v>
      </c>
      <c r="I7" s="1">
        <v>1</v>
      </c>
      <c r="J7" s="1">
        <v>2</v>
      </c>
    </row>
    <row r="8" spans="1:10" x14ac:dyDescent="0.25">
      <c r="B8" s="41" t="s">
        <v>202</v>
      </c>
      <c r="C8" s="42">
        <v>1</v>
      </c>
      <c r="D8" s="43">
        <v>1</v>
      </c>
      <c r="E8" s="44">
        <v>1</v>
      </c>
      <c r="G8" s="2" t="s">
        <v>62</v>
      </c>
      <c r="H8" s="14" t="s">
        <v>30</v>
      </c>
      <c r="I8" s="14" t="s">
        <v>252</v>
      </c>
      <c r="J8" s="14" t="s">
        <v>32</v>
      </c>
    </row>
    <row r="9" spans="1:10" x14ac:dyDescent="0.25">
      <c r="B9" s="45" t="s">
        <v>205</v>
      </c>
      <c r="C9" s="42"/>
      <c r="D9" s="43"/>
      <c r="E9" s="44">
        <v>1</v>
      </c>
      <c r="G9" s="11" t="s">
        <v>186</v>
      </c>
      <c r="H9" s="9">
        <v>0.5</v>
      </c>
      <c r="I9" s="9">
        <f t="shared" ref="I9:I17" si="0">H9*$I$7</f>
        <v>0.5</v>
      </c>
      <c r="J9" s="15">
        <f t="shared" ref="J9:J18" si="1">I9/$J$7</f>
        <v>0.25</v>
      </c>
    </row>
    <row r="10" spans="1:10" x14ac:dyDescent="0.25">
      <c r="B10" s="41" t="s">
        <v>204</v>
      </c>
      <c r="C10" s="42">
        <v>1</v>
      </c>
      <c r="D10" s="43">
        <v>1</v>
      </c>
      <c r="E10" s="44">
        <v>1</v>
      </c>
      <c r="G10" s="11" t="s">
        <v>187</v>
      </c>
      <c r="H10" s="9">
        <v>1</v>
      </c>
      <c r="I10" s="9">
        <f t="shared" si="0"/>
        <v>1</v>
      </c>
      <c r="J10" s="15">
        <f t="shared" si="1"/>
        <v>0.5</v>
      </c>
    </row>
    <row r="11" spans="1:10" ht="47.25" x14ac:dyDescent="0.25">
      <c r="B11" s="34" t="s">
        <v>191</v>
      </c>
      <c r="C11" s="3">
        <v>1</v>
      </c>
      <c r="D11" s="1">
        <v>1</v>
      </c>
      <c r="E11" s="29">
        <v>1</v>
      </c>
      <c r="G11" s="13" t="s">
        <v>64</v>
      </c>
      <c r="H11" s="10">
        <v>1</v>
      </c>
      <c r="I11" s="9">
        <f t="shared" si="0"/>
        <v>1</v>
      </c>
      <c r="J11" s="15">
        <f t="shared" si="1"/>
        <v>0.5</v>
      </c>
    </row>
    <row r="12" spans="1:10" x14ac:dyDescent="0.25">
      <c r="B12" s="34" t="s">
        <v>194</v>
      </c>
      <c r="C12" s="3">
        <v>1</v>
      </c>
      <c r="D12" s="1">
        <v>1</v>
      </c>
      <c r="E12" s="29">
        <v>1</v>
      </c>
      <c r="G12" s="11" t="s">
        <v>34</v>
      </c>
      <c r="H12" s="9">
        <v>1</v>
      </c>
      <c r="I12" s="9">
        <f t="shared" si="0"/>
        <v>1</v>
      </c>
      <c r="J12" s="15">
        <f>I12/$J$7</f>
        <v>0.5</v>
      </c>
    </row>
    <row r="13" spans="1:10" x14ac:dyDescent="0.25">
      <c r="B13" s="41" t="s">
        <v>203</v>
      </c>
      <c r="C13" s="42">
        <v>1</v>
      </c>
      <c r="D13" s="43">
        <v>1</v>
      </c>
      <c r="E13" s="44">
        <v>1</v>
      </c>
      <c r="G13" s="11" t="s">
        <v>35</v>
      </c>
      <c r="H13" s="9">
        <v>1.5</v>
      </c>
      <c r="I13" s="9">
        <f t="shared" si="0"/>
        <v>1.5</v>
      </c>
      <c r="J13" s="15">
        <f t="shared" si="1"/>
        <v>0.75</v>
      </c>
    </row>
    <row r="14" spans="1:10" x14ac:dyDescent="0.25">
      <c r="B14" s="41" t="s">
        <v>225</v>
      </c>
      <c r="C14" s="42">
        <v>1</v>
      </c>
      <c r="D14" s="43">
        <v>1</v>
      </c>
      <c r="E14" s="44">
        <v>1</v>
      </c>
      <c r="G14" s="11" t="s">
        <v>48</v>
      </c>
      <c r="H14" s="9">
        <v>2</v>
      </c>
      <c r="I14" s="9">
        <f t="shared" si="0"/>
        <v>2</v>
      </c>
      <c r="J14" s="15">
        <f t="shared" si="1"/>
        <v>1</v>
      </c>
    </row>
    <row r="15" spans="1:10" ht="15" customHeight="1" x14ac:dyDescent="0.25">
      <c r="B15" s="36" t="s">
        <v>142</v>
      </c>
      <c r="C15" s="3"/>
      <c r="E15" s="29">
        <v>1</v>
      </c>
      <c r="G15" s="1" t="s">
        <v>207</v>
      </c>
      <c r="H15" s="1">
        <v>3</v>
      </c>
      <c r="I15" s="9">
        <f t="shared" si="0"/>
        <v>3</v>
      </c>
      <c r="J15" s="15">
        <f t="shared" si="1"/>
        <v>1.5</v>
      </c>
    </row>
    <row r="16" spans="1:10" ht="15" customHeight="1" x14ac:dyDescent="0.25">
      <c r="B16" s="34" t="s">
        <v>192</v>
      </c>
      <c r="C16" s="3" t="s">
        <v>193</v>
      </c>
      <c r="D16" s="3" t="s">
        <v>193</v>
      </c>
      <c r="E16" s="35" t="s">
        <v>193</v>
      </c>
      <c r="G16" s="11" t="s">
        <v>182</v>
      </c>
      <c r="H16" s="9">
        <v>5</v>
      </c>
      <c r="I16" s="9">
        <f t="shared" si="0"/>
        <v>5</v>
      </c>
      <c r="J16" s="15">
        <f t="shared" si="1"/>
        <v>2.5</v>
      </c>
    </row>
    <row r="17" spans="1:10" ht="15" customHeight="1" x14ac:dyDescent="0.25">
      <c r="B17" s="34" t="s">
        <v>199</v>
      </c>
      <c r="C17" s="3"/>
      <c r="E17" s="29">
        <v>1</v>
      </c>
      <c r="G17" s="1" t="s">
        <v>208</v>
      </c>
      <c r="H17" s="1">
        <v>30</v>
      </c>
      <c r="I17" s="9">
        <f t="shared" si="0"/>
        <v>30</v>
      </c>
      <c r="J17" s="15">
        <f t="shared" si="1"/>
        <v>15</v>
      </c>
    </row>
    <row r="18" spans="1:10" ht="15" customHeight="1" x14ac:dyDescent="0.25">
      <c r="B18" s="34" t="s">
        <v>196</v>
      </c>
      <c r="C18" s="3">
        <v>3</v>
      </c>
      <c r="D18" s="1">
        <v>3</v>
      </c>
      <c r="E18" s="29">
        <v>3</v>
      </c>
      <c r="G18" s="1" t="s">
        <v>209</v>
      </c>
      <c r="H18" s="1">
        <v>40</v>
      </c>
      <c r="I18" s="9">
        <f>H18*$I$7</f>
        <v>40</v>
      </c>
      <c r="J18" s="15">
        <f t="shared" si="1"/>
        <v>20</v>
      </c>
    </row>
    <row r="19" spans="1:10" ht="15" customHeight="1" x14ac:dyDescent="0.25">
      <c r="B19" s="34" t="s">
        <v>195</v>
      </c>
      <c r="C19" s="3"/>
      <c r="D19" s="1">
        <v>4</v>
      </c>
      <c r="E19" s="29"/>
      <c r="G19" s="1" t="s">
        <v>774</v>
      </c>
      <c r="H19" s="1">
        <v>4</v>
      </c>
      <c r="I19" s="9">
        <f>Tabla1[[#This Row],[VR UNIT]]*I7</f>
        <v>4</v>
      </c>
      <c r="J19" s="15">
        <f>Tabla1[[#This Row],[Vr BARRA]]/J7</f>
        <v>2</v>
      </c>
    </row>
    <row r="20" spans="1:10" ht="15" customHeight="1" x14ac:dyDescent="0.25">
      <c r="B20" s="34" t="s">
        <v>197</v>
      </c>
      <c r="C20" s="3" t="s">
        <v>193</v>
      </c>
      <c r="D20" s="1">
        <v>40</v>
      </c>
      <c r="E20" s="29" t="s">
        <v>193</v>
      </c>
    </row>
    <row r="21" spans="1:10" ht="15" customHeight="1" x14ac:dyDescent="0.25">
      <c r="B21" s="41" t="s">
        <v>206</v>
      </c>
      <c r="C21" s="42">
        <v>30</v>
      </c>
      <c r="D21" s="43">
        <v>30</v>
      </c>
      <c r="E21" s="44">
        <v>30</v>
      </c>
    </row>
    <row r="22" spans="1:10" ht="15" customHeight="1" x14ac:dyDescent="0.25">
      <c r="B22" s="34" t="s">
        <v>156</v>
      </c>
      <c r="C22" s="3">
        <v>1</v>
      </c>
      <c r="D22" s="1">
        <v>1</v>
      </c>
      <c r="E22" s="29">
        <v>1</v>
      </c>
    </row>
    <row r="23" spans="1:10" ht="15" customHeight="1" x14ac:dyDescent="0.25">
      <c r="B23" s="34" t="s">
        <v>68</v>
      </c>
      <c r="C23" s="3">
        <v>1</v>
      </c>
      <c r="D23" s="1">
        <v>1</v>
      </c>
      <c r="E23" s="29">
        <v>1</v>
      </c>
    </row>
    <row r="24" spans="1:10" ht="15" customHeight="1" x14ac:dyDescent="0.25">
      <c r="B24" s="34" t="s">
        <v>200</v>
      </c>
      <c r="C24" s="3"/>
      <c r="E24" s="29">
        <v>1</v>
      </c>
    </row>
    <row r="25" spans="1:10" ht="15" customHeight="1" x14ac:dyDescent="0.25">
      <c r="B25" s="34" t="s">
        <v>198</v>
      </c>
      <c r="C25" s="3"/>
      <c r="E25" s="29">
        <v>1</v>
      </c>
    </row>
    <row r="26" spans="1:10" ht="15" customHeight="1" x14ac:dyDescent="0.25">
      <c r="B26" s="34" t="s">
        <v>58</v>
      </c>
      <c r="C26" s="3">
        <v>1</v>
      </c>
      <c r="D26" s="1">
        <v>1</v>
      </c>
      <c r="E26" s="29">
        <v>1</v>
      </c>
    </row>
    <row r="27" spans="1:10" ht="15" customHeight="1" x14ac:dyDescent="0.25">
      <c r="B27" s="34" t="s">
        <v>59</v>
      </c>
      <c r="C27" s="3">
        <v>1</v>
      </c>
      <c r="D27" s="1">
        <v>1</v>
      </c>
      <c r="E27" s="29">
        <v>1</v>
      </c>
    </row>
    <row r="28" spans="1:10" ht="15" customHeight="1" thickBot="1" x14ac:dyDescent="0.3">
      <c r="B28" s="37" t="s">
        <v>201</v>
      </c>
      <c r="C28" s="38"/>
      <c r="D28" s="39"/>
      <c r="E28" s="33">
        <v>1</v>
      </c>
    </row>
    <row r="29" spans="1:10" ht="15" customHeight="1" thickBot="1" x14ac:dyDescent="0.3">
      <c r="A29" s="4" t="s">
        <v>180</v>
      </c>
    </row>
    <row r="30" spans="1:10" ht="15" customHeight="1" x14ac:dyDescent="0.25">
      <c r="B30" s="24" t="s">
        <v>181</v>
      </c>
      <c r="C30" s="25">
        <v>1</v>
      </c>
      <c r="D30" s="26">
        <v>1</v>
      </c>
      <c r="E30" s="27"/>
    </row>
    <row r="31" spans="1:10" ht="15" customHeight="1" x14ac:dyDescent="0.25">
      <c r="B31" s="28" t="s">
        <v>182</v>
      </c>
      <c r="C31" s="9">
        <v>5</v>
      </c>
      <c r="D31" s="15">
        <v>5</v>
      </c>
      <c r="E31" s="29"/>
    </row>
    <row r="32" spans="1:10" x14ac:dyDescent="0.25">
      <c r="B32" s="28" t="s">
        <v>183</v>
      </c>
      <c r="C32" s="9">
        <v>4</v>
      </c>
      <c r="D32" s="15">
        <v>4</v>
      </c>
      <c r="E32" s="29">
        <v>4</v>
      </c>
    </row>
    <row r="33" spans="2:5" ht="16.5" thickBot="1" x14ac:dyDescent="0.3">
      <c r="B33" s="30" t="s">
        <v>184</v>
      </c>
      <c r="C33" s="31">
        <v>4</v>
      </c>
      <c r="D33" s="32">
        <v>4</v>
      </c>
      <c r="E33" s="33">
        <v>4</v>
      </c>
    </row>
    <row r="35" spans="2:5" x14ac:dyDescent="0.25">
      <c r="B35" s="40"/>
      <c r="C35" s="3"/>
    </row>
    <row r="36" spans="2:5" x14ac:dyDescent="0.25">
      <c r="C36" s="3"/>
    </row>
    <row r="37" spans="2:5" x14ac:dyDescent="0.25">
      <c r="C37" s="3"/>
    </row>
    <row r="38" spans="2:5" x14ac:dyDescent="0.25">
      <c r="C38" s="3"/>
    </row>
    <row r="39" spans="2:5" x14ac:dyDescent="0.25">
      <c r="C39" s="3"/>
    </row>
    <row r="40" spans="2:5" x14ac:dyDescent="0.25">
      <c r="C40" s="3"/>
    </row>
    <row r="41" spans="2:5" x14ac:dyDescent="0.25">
      <c r="C41" s="3"/>
    </row>
    <row r="42" spans="2:5" x14ac:dyDescent="0.25">
      <c r="C42" s="3"/>
    </row>
    <row r="45" spans="2:5" x14ac:dyDescent="0.25">
      <c r="B45" s="40"/>
    </row>
  </sheetData>
  <sortState xmlns:xlrd2="http://schemas.microsoft.com/office/spreadsheetml/2017/richdata2" ref="B10:E35">
    <sortCondition ref="B10:B35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MAYO </vt:lpstr>
      <vt:lpstr>JUNIO</vt:lpstr>
      <vt:lpstr>JULIO</vt:lpstr>
      <vt:lpstr>CALCULOS</vt:lpstr>
      <vt:lpstr>VALORES</vt:lpstr>
      <vt:lpstr>CALCULOS!Área_de_impresión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Siria 2022</dc:creator>
  <cp:lastModifiedBy>Facturas</cp:lastModifiedBy>
  <cp:lastPrinted>2024-04-24T16:32:32Z</cp:lastPrinted>
  <dcterms:created xsi:type="dcterms:W3CDTF">2023-05-26T02:11:21Z</dcterms:created>
  <dcterms:modified xsi:type="dcterms:W3CDTF">2026-07-23T20:08:48Z</dcterms:modified>
</cp:coreProperties>
</file>